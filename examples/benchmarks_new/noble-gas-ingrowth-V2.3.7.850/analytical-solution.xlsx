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<sst xmlns="http://schemas.openxmlformats.org/spreadsheetml/2006/main" count="27" uniqueCount="26">
  <si>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reaction</t>
  </si>
  <si>
    <t xml:space="preserve">Batch reaction</t>
  </si>
  <si>
    <t xml:space="preserve">half-life (second)</t>
  </si>
  <si>
    <t xml:space="preserve">rate k (s-1)</t>
  </si>
  <si>
    <t xml:space="preserve">log rate constant</t>
  </si>
  <si>
    <t xml:space="preserve">molecular mass</t>
  </si>
  <si>
    <t xml:space="preserve">4He yield per reaction</t>
  </si>
  <si>
    <t xml:space="preserve">mass of mineral (mole)</t>
  </si>
  <si>
    <t xml:space="preserve">density of mineral (g/ml)</t>
  </si>
  <si>
    <t xml:space="preserve">mineral volume fraction</t>
  </si>
  <si>
    <t xml:space="preserve">rate mol/L bulk / day</t>
  </si>
  <si>
    <t xml:space="preserve">4He yield (mole per second)</t>
  </si>
  <si>
    <t xml:space="preserve">4He yield (mole per year)</t>
  </si>
  <si>
    <t xml:space="preserve">238U-yield-8-4He</t>
  </si>
  <si>
    <t xml:space="preserve">Ref: Ballentine2002</t>
  </si>
  <si>
    <t xml:space="preserve">235U-yield-7-4He</t>
  </si>
  <si>
    <t xml:space="preserve">232Th-yield-6-4He</t>
  </si>
  <si>
    <t xml:space="preserve">Total 4He yield per year</t>
  </si>
  <si>
    <t xml:space="preserve">1D diffusion</t>
  </si>
  <si>
    <t xml:space="preserve">G (mol per year)</t>
  </si>
  <si>
    <t xml:space="preserve">Ref: Andrews1989</t>
  </si>
  <si>
    <t xml:space="preserve">D (m^2 per year)</t>
  </si>
  <si>
    <t xml:space="preserve">T (year)</t>
  </si>
  <si>
    <t xml:space="preserve">Analytical solution</t>
  </si>
  <si>
    <t xml:space="preserve">Z (depth m)</t>
  </si>
  <si>
    <t xml:space="preserve">C (mol m^-3)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</si>
</sst>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0.000000E+00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A5A5A5"/>
      <rgbColor rgb="FF003366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tx>
            <c:strRef>
              <c:f>Sheet1!$D$9:$D$9</c:f>
              <c:strCache>
                <c:ptCount val="1"/>
                <c:pt idx="0">
                  <c:v>1.00E-07</c:v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Sheet1!$C$12:$C$1012</c:f>
              <c:numCache>
                <c:formatCode>General</c:formatCode>
                <c:ptCount val="10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</c:v>
                </c:pt>
                <c:pt idx="323">
                  <c:v>32.3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</c:v>
                </c:pt>
                <c:pt idx="328">
                  <c:v>32.8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</c:v>
                </c:pt>
                <c:pt idx="333">
                  <c:v>33.3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</c:v>
                </c:pt>
                <c:pt idx="338">
                  <c:v>33.8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</c:v>
                </c:pt>
                <c:pt idx="343">
                  <c:v>34.3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</c:v>
                </c:pt>
                <c:pt idx="348">
                  <c:v>34.8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</c:v>
                </c:pt>
                <c:pt idx="353">
                  <c:v>35.3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</c:v>
                </c:pt>
                <c:pt idx="358">
                  <c:v>35.8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</c:v>
                </c:pt>
                <c:pt idx="363">
                  <c:v>36.3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</c:v>
                </c:pt>
                <c:pt idx="368">
                  <c:v>36.8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</c:v>
                </c:pt>
                <c:pt idx="373">
                  <c:v>37.3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</c:v>
                </c:pt>
                <c:pt idx="378">
                  <c:v>37.8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</c:v>
                </c:pt>
                <c:pt idx="383">
                  <c:v>38.3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</c:v>
                </c:pt>
                <c:pt idx="388">
                  <c:v>38.8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</c:v>
                </c:pt>
                <c:pt idx="393">
                  <c:v>39.3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</c:v>
                </c:pt>
                <c:pt idx="398">
                  <c:v>39.8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</c:v>
                </c:pt>
                <c:pt idx="403">
                  <c:v>40.3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</c:v>
                </c:pt>
                <c:pt idx="408">
                  <c:v>40.8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64.1</c:v>
                </c:pt>
                <c:pt idx="642">
                  <c:v>64.2</c:v>
                </c:pt>
                <c:pt idx="643">
                  <c:v>64.3</c:v>
                </c:pt>
                <c:pt idx="644">
                  <c:v>64.4</c:v>
                </c:pt>
                <c:pt idx="645">
                  <c:v>64.5</c:v>
                </c:pt>
                <c:pt idx="646">
                  <c:v>64.6</c:v>
                </c:pt>
                <c:pt idx="647">
                  <c:v>64.7</c:v>
                </c:pt>
                <c:pt idx="648">
                  <c:v>64.8</c:v>
                </c:pt>
                <c:pt idx="649">
                  <c:v>64.9</c:v>
                </c:pt>
                <c:pt idx="650">
                  <c:v>65</c:v>
                </c:pt>
                <c:pt idx="651">
                  <c:v>65.1</c:v>
                </c:pt>
                <c:pt idx="652">
                  <c:v>65.2</c:v>
                </c:pt>
                <c:pt idx="653">
                  <c:v>65.3</c:v>
                </c:pt>
                <c:pt idx="654">
                  <c:v>65.4</c:v>
                </c:pt>
                <c:pt idx="655">
                  <c:v>65.5</c:v>
                </c:pt>
                <c:pt idx="656">
                  <c:v>65.6</c:v>
                </c:pt>
                <c:pt idx="657">
                  <c:v>65.7</c:v>
                </c:pt>
                <c:pt idx="658">
                  <c:v>65.8</c:v>
                </c:pt>
                <c:pt idx="659">
                  <c:v>65.9</c:v>
                </c:pt>
                <c:pt idx="660">
                  <c:v>66</c:v>
                </c:pt>
                <c:pt idx="661">
                  <c:v>66.1</c:v>
                </c:pt>
                <c:pt idx="662">
                  <c:v>66.2</c:v>
                </c:pt>
                <c:pt idx="663">
                  <c:v>66.3</c:v>
                </c:pt>
                <c:pt idx="664">
                  <c:v>66.4</c:v>
                </c:pt>
                <c:pt idx="665">
                  <c:v>66.5</c:v>
                </c:pt>
                <c:pt idx="666">
                  <c:v>66.6</c:v>
                </c:pt>
                <c:pt idx="667">
                  <c:v>66.7</c:v>
                </c:pt>
                <c:pt idx="668">
                  <c:v>66.8</c:v>
                </c:pt>
                <c:pt idx="669">
                  <c:v>66.9</c:v>
                </c:pt>
                <c:pt idx="670">
                  <c:v>67</c:v>
                </c:pt>
                <c:pt idx="671">
                  <c:v>67.1</c:v>
                </c:pt>
                <c:pt idx="672">
                  <c:v>67.2</c:v>
                </c:pt>
                <c:pt idx="673">
                  <c:v>67.3</c:v>
                </c:pt>
                <c:pt idx="674">
                  <c:v>67.4</c:v>
                </c:pt>
                <c:pt idx="675">
                  <c:v>67.5</c:v>
                </c:pt>
                <c:pt idx="676">
                  <c:v>67.6</c:v>
                </c:pt>
                <c:pt idx="677">
                  <c:v>67.7</c:v>
                </c:pt>
                <c:pt idx="678">
                  <c:v>67.8</c:v>
                </c:pt>
                <c:pt idx="679">
                  <c:v>67.9</c:v>
                </c:pt>
                <c:pt idx="680">
                  <c:v>68</c:v>
                </c:pt>
                <c:pt idx="681">
                  <c:v>68.1</c:v>
                </c:pt>
                <c:pt idx="682">
                  <c:v>68.2</c:v>
                </c:pt>
                <c:pt idx="683">
                  <c:v>68.3</c:v>
                </c:pt>
                <c:pt idx="684">
                  <c:v>68.4</c:v>
                </c:pt>
                <c:pt idx="685">
                  <c:v>68.5</c:v>
                </c:pt>
                <c:pt idx="686">
                  <c:v>68.6</c:v>
                </c:pt>
                <c:pt idx="687">
                  <c:v>68.7</c:v>
                </c:pt>
                <c:pt idx="688">
                  <c:v>68.8</c:v>
                </c:pt>
                <c:pt idx="689">
                  <c:v>68.9</c:v>
                </c:pt>
                <c:pt idx="690">
                  <c:v>69</c:v>
                </c:pt>
                <c:pt idx="691">
                  <c:v>69.1</c:v>
                </c:pt>
                <c:pt idx="692">
                  <c:v>69.2</c:v>
                </c:pt>
                <c:pt idx="693">
                  <c:v>69.3</c:v>
                </c:pt>
                <c:pt idx="694">
                  <c:v>69.4</c:v>
                </c:pt>
                <c:pt idx="695">
                  <c:v>69.5</c:v>
                </c:pt>
                <c:pt idx="696">
                  <c:v>69.6</c:v>
                </c:pt>
                <c:pt idx="697">
                  <c:v>69.7</c:v>
                </c:pt>
                <c:pt idx="698">
                  <c:v>69.8</c:v>
                </c:pt>
                <c:pt idx="699">
                  <c:v>69.9</c:v>
                </c:pt>
                <c:pt idx="700">
                  <c:v>70</c:v>
                </c:pt>
                <c:pt idx="701">
                  <c:v>70.1</c:v>
                </c:pt>
                <c:pt idx="702">
                  <c:v>70.2</c:v>
                </c:pt>
                <c:pt idx="703">
                  <c:v>70.3</c:v>
                </c:pt>
                <c:pt idx="704">
                  <c:v>70.4</c:v>
                </c:pt>
                <c:pt idx="705">
                  <c:v>70.5</c:v>
                </c:pt>
                <c:pt idx="706">
                  <c:v>70.6</c:v>
                </c:pt>
                <c:pt idx="707">
                  <c:v>70.7</c:v>
                </c:pt>
                <c:pt idx="708">
                  <c:v>70.8</c:v>
                </c:pt>
                <c:pt idx="709">
                  <c:v>70.9</c:v>
                </c:pt>
                <c:pt idx="710">
                  <c:v>71</c:v>
                </c:pt>
                <c:pt idx="711">
                  <c:v>71.1</c:v>
                </c:pt>
                <c:pt idx="712">
                  <c:v>71.2</c:v>
                </c:pt>
                <c:pt idx="713">
                  <c:v>71.3</c:v>
                </c:pt>
                <c:pt idx="714">
                  <c:v>71.4</c:v>
                </c:pt>
                <c:pt idx="715">
                  <c:v>71.5</c:v>
                </c:pt>
                <c:pt idx="716">
                  <c:v>71.6</c:v>
                </c:pt>
                <c:pt idx="717">
                  <c:v>71.7</c:v>
                </c:pt>
                <c:pt idx="718">
                  <c:v>71.8</c:v>
                </c:pt>
                <c:pt idx="719">
                  <c:v>71.9</c:v>
                </c:pt>
                <c:pt idx="720">
                  <c:v>72</c:v>
                </c:pt>
                <c:pt idx="721">
                  <c:v>72.1</c:v>
                </c:pt>
                <c:pt idx="722">
                  <c:v>72.2</c:v>
                </c:pt>
                <c:pt idx="723">
                  <c:v>72.3</c:v>
                </c:pt>
                <c:pt idx="724">
                  <c:v>72.4</c:v>
                </c:pt>
                <c:pt idx="725">
                  <c:v>72.5</c:v>
                </c:pt>
                <c:pt idx="726">
                  <c:v>72.6</c:v>
                </c:pt>
                <c:pt idx="727">
                  <c:v>72.7</c:v>
                </c:pt>
                <c:pt idx="728">
                  <c:v>72.8</c:v>
                </c:pt>
                <c:pt idx="729">
                  <c:v>72.9</c:v>
                </c:pt>
                <c:pt idx="730">
                  <c:v>73</c:v>
                </c:pt>
                <c:pt idx="731">
                  <c:v>73.1</c:v>
                </c:pt>
                <c:pt idx="732">
                  <c:v>73.2</c:v>
                </c:pt>
                <c:pt idx="733">
                  <c:v>73.3</c:v>
                </c:pt>
                <c:pt idx="734">
                  <c:v>73.4</c:v>
                </c:pt>
                <c:pt idx="735">
                  <c:v>73.5</c:v>
                </c:pt>
                <c:pt idx="736">
                  <c:v>73.6</c:v>
                </c:pt>
                <c:pt idx="737">
                  <c:v>73.7</c:v>
                </c:pt>
                <c:pt idx="738">
                  <c:v>73.8</c:v>
                </c:pt>
                <c:pt idx="739">
                  <c:v>73.9</c:v>
                </c:pt>
                <c:pt idx="740">
                  <c:v>74</c:v>
                </c:pt>
                <c:pt idx="741">
                  <c:v>74.1</c:v>
                </c:pt>
                <c:pt idx="742">
                  <c:v>74.2</c:v>
                </c:pt>
                <c:pt idx="743">
                  <c:v>74.3</c:v>
                </c:pt>
                <c:pt idx="744">
                  <c:v>74.4</c:v>
                </c:pt>
                <c:pt idx="745">
                  <c:v>74.5</c:v>
                </c:pt>
                <c:pt idx="746">
                  <c:v>74.6</c:v>
                </c:pt>
                <c:pt idx="747">
                  <c:v>74.7</c:v>
                </c:pt>
                <c:pt idx="748">
                  <c:v>74.8</c:v>
                </c:pt>
                <c:pt idx="749">
                  <c:v>74.9</c:v>
                </c:pt>
                <c:pt idx="750">
                  <c:v>75</c:v>
                </c:pt>
                <c:pt idx="751">
                  <c:v>75.1</c:v>
                </c:pt>
                <c:pt idx="752">
                  <c:v>75.2</c:v>
                </c:pt>
                <c:pt idx="753">
                  <c:v>75.3</c:v>
                </c:pt>
                <c:pt idx="754">
                  <c:v>75.4</c:v>
                </c:pt>
                <c:pt idx="755">
                  <c:v>75.5</c:v>
                </c:pt>
                <c:pt idx="756">
                  <c:v>75.6</c:v>
                </c:pt>
                <c:pt idx="757">
                  <c:v>75.7</c:v>
                </c:pt>
                <c:pt idx="758">
                  <c:v>75.8</c:v>
                </c:pt>
                <c:pt idx="759">
                  <c:v>75.9</c:v>
                </c:pt>
                <c:pt idx="760">
                  <c:v>76</c:v>
                </c:pt>
                <c:pt idx="761">
                  <c:v>76.1</c:v>
                </c:pt>
                <c:pt idx="762">
                  <c:v>76.2</c:v>
                </c:pt>
                <c:pt idx="763">
                  <c:v>76.3</c:v>
                </c:pt>
                <c:pt idx="764">
                  <c:v>76.4</c:v>
                </c:pt>
                <c:pt idx="765">
                  <c:v>76.5</c:v>
                </c:pt>
                <c:pt idx="766">
                  <c:v>76.6</c:v>
                </c:pt>
                <c:pt idx="767">
                  <c:v>76.7</c:v>
                </c:pt>
                <c:pt idx="768">
                  <c:v>76.8</c:v>
                </c:pt>
                <c:pt idx="769">
                  <c:v>76.9</c:v>
                </c:pt>
                <c:pt idx="770">
                  <c:v>77</c:v>
                </c:pt>
                <c:pt idx="771">
                  <c:v>77.1</c:v>
                </c:pt>
                <c:pt idx="772">
                  <c:v>77.2</c:v>
                </c:pt>
                <c:pt idx="773">
                  <c:v>77.3</c:v>
                </c:pt>
                <c:pt idx="774">
                  <c:v>77.4</c:v>
                </c:pt>
                <c:pt idx="775">
                  <c:v>77.5</c:v>
                </c:pt>
                <c:pt idx="776">
                  <c:v>77.6</c:v>
                </c:pt>
                <c:pt idx="777">
                  <c:v>77.7</c:v>
                </c:pt>
                <c:pt idx="778">
                  <c:v>77.8</c:v>
                </c:pt>
                <c:pt idx="779">
                  <c:v>77.9</c:v>
                </c:pt>
                <c:pt idx="780">
                  <c:v>78</c:v>
                </c:pt>
                <c:pt idx="781">
                  <c:v>78.1</c:v>
                </c:pt>
                <c:pt idx="782">
                  <c:v>78.2</c:v>
                </c:pt>
                <c:pt idx="783">
                  <c:v>78.3</c:v>
                </c:pt>
                <c:pt idx="784">
                  <c:v>78.4</c:v>
                </c:pt>
                <c:pt idx="785">
                  <c:v>78.5</c:v>
                </c:pt>
                <c:pt idx="786">
                  <c:v>78.6</c:v>
                </c:pt>
                <c:pt idx="787">
                  <c:v>78.7</c:v>
                </c:pt>
                <c:pt idx="788">
                  <c:v>78.8</c:v>
                </c:pt>
                <c:pt idx="789">
                  <c:v>78.9</c:v>
                </c:pt>
                <c:pt idx="790">
                  <c:v>79</c:v>
                </c:pt>
                <c:pt idx="791">
                  <c:v>79.1</c:v>
                </c:pt>
                <c:pt idx="792">
                  <c:v>79.2</c:v>
                </c:pt>
                <c:pt idx="793">
                  <c:v>79.3</c:v>
                </c:pt>
                <c:pt idx="794">
                  <c:v>79.4</c:v>
                </c:pt>
                <c:pt idx="795">
                  <c:v>79.5</c:v>
                </c:pt>
                <c:pt idx="796">
                  <c:v>79.6</c:v>
                </c:pt>
                <c:pt idx="797">
                  <c:v>79.7</c:v>
                </c:pt>
                <c:pt idx="798">
                  <c:v>79.8</c:v>
                </c:pt>
                <c:pt idx="799">
                  <c:v>79.9</c:v>
                </c:pt>
                <c:pt idx="800">
                  <c:v>80</c:v>
                </c:pt>
                <c:pt idx="801">
                  <c:v>80.1</c:v>
                </c:pt>
                <c:pt idx="802">
                  <c:v>80.2</c:v>
                </c:pt>
                <c:pt idx="803">
                  <c:v>80.3</c:v>
                </c:pt>
                <c:pt idx="804">
                  <c:v>80.4</c:v>
                </c:pt>
                <c:pt idx="805">
                  <c:v>80.5</c:v>
                </c:pt>
                <c:pt idx="806">
                  <c:v>80.6</c:v>
                </c:pt>
                <c:pt idx="807">
                  <c:v>80.7</c:v>
                </c:pt>
                <c:pt idx="808">
                  <c:v>80.8</c:v>
                </c:pt>
                <c:pt idx="809">
                  <c:v>80.9</c:v>
                </c:pt>
                <c:pt idx="810">
                  <c:v>81</c:v>
                </c:pt>
                <c:pt idx="811">
                  <c:v>81.1</c:v>
                </c:pt>
                <c:pt idx="812">
                  <c:v>81.2</c:v>
                </c:pt>
                <c:pt idx="813">
                  <c:v>81.3</c:v>
                </c:pt>
                <c:pt idx="814">
                  <c:v>81.4</c:v>
                </c:pt>
                <c:pt idx="815">
                  <c:v>81.5</c:v>
                </c:pt>
                <c:pt idx="816">
                  <c:v>81.6</c:v>
                </c:pt>
                <c:pt idx="817">
                  <c:v>81.7</c:v>
                </c:pt>
                <c:pt idx="818">
                  <c:v>81.8</c:v>
                </c:pt>
                <c:pt idx="819">
                  <c:v>81.9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</c:numCache>
            </c:numRef>
          </c:xVal>
          <c:yVal>
            <c:numRef>
              <c:f>Sheet1!$D$12:$D$1012</c:f>
              <c:numCache>
                <c:formatCode>General</c:formatCode>
                <c:ptCount val="1001"/>
                <c:pt idx="0">
                  <c:v>0</c:v>
                </c:pt>
                <c:pt idx="1">
                  <c:v>1.82791111242823E-005</c:v>
                </c:pt>
                <c:pt idx="2">
                  <c:v>3.5917477848014E-005</c:v>
                </c:pt>
                <c:pt idx="3">
                  <c:v>5.29375604201673E-005</c:v>
                </c:pt>
                <c:pt idx="4">
                  <c:v>6.93610317823516E-005</c:v>
                </c:pt>
                <c:pt idx="5">
                  <c:v>8.52088051665887E-005</c:v>
                </c:pt>
                <c:pt idx="6">
                  <c:v>0.000100501060725692</c:v>
                </c:pt>
                <c:pt idx="7">
                  <c:v>0.000115257271230161</c:v>
                </c:pt>
                <c:pt idx="8">
                  <c:v>0.000129496226864314</c:v>
                </c:pt>
                <c:pt idx="9">
                  <c:v>0.000143236059153232</c:v>
                </c:pt>
                <c:pt idx="10">
                  <c:v>0.000156494264050984</c:v>
                </c:pt>
                <c:pt idx="11">
                  <c:v>0.000169287724219529</c:v>
                </c:pt>
                <c:pt idx="12">
                  <c:v>0.000181632730526674</c:v>
                </c:pt>
                <c:pt idx="13">
                  <c:v>0.000193545002790446</c:v>
                </c:pt>
                <c:pt idx="14">
                  <c:v>0.000205039709796315</c:v>
                </c:pt>
                <c:pt idx="15">
                  <c:v>0.000216131488612739</c:v>
                </c:pt>
                <c:pt idx="16">
                  <c:v>0.000226834463229635</c:v>
                </c:pt>
                <c:pt idx="17">
                  <c:v>0.000237162262543509</c:v>
                </c:pt>
                <c:pt idx="18">
                  <c:v>0.000247128037712151</c:v>
                </c:pt>
                <c:pt idx="19">
                  <c:v>0.000256744478900982</c:v>
                </c:pt>
                <c:pt idx="20">
                  <c:v>0.000266023831442391</c:v>
                </c:pt>
                <c:pt idx="21">
                  <c:v>0.000274977911428629</c:v>
                </c:pt>
                <c:pt idx="22">
                  <c:v>0.000283618120758124</c:v>
                </c:pt>
                <c:pt idx="23">
                  <c:v>0.000291955461654367</c:v>
                </c:pt>
                <c:pt idx="24">
                  <c:v>0.000300000550675864</c:v>
                </c:pt>
                <c:pt idx="25">
                  <c:v>0.000307763632234996</c:v>
                </c:pt>
                <c:pt idx="26">
                  <c:v>0.00031525459164299</c:v>
                </c:pt>
                <c:pt idx="27">
                  <c:v>0.000322482967697625</c:v>
                </c:pt>
                <c:pt idx="28">
                  <c:v>0.000329457964829698</c:v>
                </c:pt>
                <c:pt idx="29">
                  <c:v>0.000336188464823707</c:v>
                </c:pt>
                <c:pt idx="30">
                  <c:v>0.000342683038127695</c:v>
                </c:pt>
                <c:pt idx="31">
                  <c:v>0.000348949954766641</c:v>
                </c:pt>
                <c:pt idx="32">
                  <c:v>0.000354997194873298</c:v>
                </c:pt>
                <c:pt idx="33">
                  <c:v>0.000360832458849891</c:v>
                </c:pt>
                <c:pt idx="34">
                  <c:v>0.000366463177173617</c:v>
                </c:pt>
                <c:pt idx="35">
                  <c:v>0.000371896519858426</c:v>
                </c:pt>
                <c:pt idx="36">
                  <c:v>0.000377139405585131</c:v>
                </c:pt>
                <c:pt idx="37">
                  <c:v>0.000382198510511486</c:v>
                </c:pt>
                <c:pt idx="38">
                  <c:v>0.000387080276773432</c:v>
                </c:pt>
                <c:pt idx="39">
                  <c:v>0.000391790920688353</c:v>
                </c:pt>
                <c:pt idx="40">
                  <c:v>0.000396336440670771</c:v>
                </c:pt>
                <c:pt idx="41">
                  <c:v>0.000400722624870584</c:v>
                </c:pt>
                <c:pt idx="42">
                  <c:v>0.000404955058543542</c:v>
                </c:pt>
                <c:pt idx="43">
                  <c:v>0.00040903913116337</c:v>
                </c:pt>
                <c:pt idx="44">
                  <c:v>0.000412980043284595</c:v>
                </c:pt>
                <c:pt idx="45">
                  <c:v>0.00041678281316479</c:v>
                </c:pt>
                <c:pt idx="46">
                  <c:v>0.000420452283154703</c:v>
                </c:pt>
                <c:pt idx="47">
                  <c:v>0.000423993125864381</c:v>
                </c:pt>
                <c:pt idx="48">
                  <c:v>0.000427409850113155</c:v>
                </c:pt>
                <c:pt idx="49">
                  <c:v>0.000430706806671052</c:v>
                </c:pt>
                <c:pt idx="50">
                  <c:v>0.00043388819379896</c:v>
                </c:pt>
                <c:pt idx="51">
                  <c:v>0.000436958062594586</c:v>
                </c:pt>
                <c:pt idx="52">
                  <c:v>0.000439920322151018</c:v>
                </c:pt>
                <c:pt idx="53">
                  <c:v>0.000442778744534469</c:v>
                </c:pt>
                <c:pt idx="54">
                  <c:v>0.000445536969587527</c:v>
                </c:pt>
                <c:pt idx="55">
                  <c:v>0.000448198509564041</c:v>
                </c:pt>
                <c:pt idx="56">
                  <c:v>0.000450766753601534</c:v>
                </c:pt>
                <c:pt idx="57">
                  <c:v>0.000453244972036849</c:v>
                </c:pt>
                <c:pt idx="58">
                  <c:v>0.000455636320570505</c:v>
                </c:pt>
                <c:pt idx="59">
                  <c:v>0.000457943844285093</c:v>
                </c:pt>
                <c:pt idx="60">
                  <c:v>0.000460170481522806</c:v>
                </c:pt>
                <c:pt idx="61">
                  <c:v>0.000462319067627047</c:v>
                </c:pt>
                <c:pt idx="62">
                  <c:v>0.000464392338552883</c:v>
                </c:pt>
                <c:pt idx="63">
                  <c:v>0.000466392934350946</c:v>
                </c:pt>
                <c:pt idx="64">
                  <c:v>0.000468323402529199</c:v>
                </c:pt>
                <c:pt idx="65">
                  <c:v>0.000470186201296874</c:v>
                </c:pt>
                <c:pt idx="66">
                  <c:v>0.000471983702694693</c:v>
                </c:pt>
                <c:pt idx="67">
                  <c:v>0.00047371819561536</c:v>
                </c:pt>
                <c:pt idx="68">
                  <c:v>0.000475391888718183</c:v>
                </c:pt>
                <c:pt idx="69">
                  <c:v>0.000477006913241522</c:v>
                </c:pt>
                <c:pt idx="70">
                  <c:v>0.000478565325716658</c:v>
                </c:pt>
                <c:pt idx="71">
                  <c:v>0.000480069110586524</c:v>
                </c:pt>
                <c:pt idx="72">
                  <c:v>0.000481520182732645</c:v>
                </c:pt>
                <c:pt idx="73">
                  <c:v>0.0004829203899135</c:v>
                </c:pt>
                <c:pt idx="74">
                  <c:v>0.000484271515117412</c:v>
                </c:pt>
                <c:pt idx="75">
                  <c:v>0.000485575278832958</c:v>
                </c:pt>
                <c:pt idx="76">
                  <c:v>0.000486833341239798</c:v>
                </c:pt>
                <c:pt idx="77">
                  <c:v>0.000488047304322701</c:v>
                </c:pt>
                <c:pt idx="78">
                  <c:v>0.00048921871391148</c:v>
                </c:pt>
                <c:pt idx="79">
                  <c:v>0.000490349061649402</c:v>
                </c:pt>
                <c:pt idx="80">
                  <c:v>0.000491439786892619</c:v>
                </c:pt>
                <c:pt idx="81">
                  <c:v>0.000492492278543</c:v>
                </c:pt>
                <c:pt idx="82">
                  <c:v>0.000493507876816727</c:v>
                </c:pt>
                <c:pt idx="83">
                  <c:v>0.000494487874950891</c:v>
                </c:pt>
                <c:pt idx="84">
                  <c:v>0.00049543352085027</c:v>
                </c:pt>
                <c:pt idx="85">
                  <c:v>0.000496346018676375</c:v>
                </c:pt>
                <c:pt idx="86">
                  <c:v>0.000497226530380801</c:v>
                </c:pt>
                <c:pt idx="87">
                  <c:v>0.000498076177184829</c:v>
                </c:pt>
                <c:pt idx="88">
                  <c:v>0.000498896041007156</c:v>
                </c:pt>
                <c:pt idx="89">
                  <c:v>0.000499687165841585</c:v>
                </c:pt>
                <c:pt idx="90">
                  <c:v>0.000500450559086423</c:v>
                </c:pt>
                <c:pt idx="91">
                  <c:v>0.000501187192827272</c:v>
                </c:pt>
                <c:pt idx="92">
                  <c:v>0.00050189800507486</c:v>
                </c:pt>
                <c:pt idx="93">
                  <c:v>0.000502583900959482</c:v>
                </c:pt>
                <c:pt idx="94">
                  <c:v>0.000503245753883565</c:v>
                </c:pt>
                <c:pt idx="95">
                  <c:v>0.000503884406633843</c:v>
                </c:pt>
                <c:pt idx="96">
                  <c:v>0.000504500672454535</c:v>
                </c:pt>
                <c:pt idx="97">
                  <c:v>0.000505095336082911</c:v>
                </c:pt>
                <c:pt idx="98">
                  <c:v>0.000505669154748559</c:v>
                </c:pt>
                <c:pt idx="99">
                  <c:v>0.000506222859137619</c:v>
                </c:pt>
                <c:pt idx="100">
                  <c:v>0.00050675715432322</c:v>
                </c:pt>
                <c:pt idx="101">
                  <c:v>0.000507272720663305</c:v>
                </c:pt>
                <c:pt idx="102">
                  <c:v>0.00050777021466698</c:v>
                </c:pt>
                <c:pt idx="103">
                  <c:v>0.000508250269830494</c:v>
                </c:pt>
                <c:pt idx="104">
                  <c:v>0.000508713497443923</c:v>
                </c:pt>
                <c:pt idx="105">
                  <c:v>0.000509160487369563</c:v>
                </c:pt>
                <c:pt idx="106">
                  <c:v>0.000509591808793053</c:v>
                </c:pt>
                <c:pt idx="107">
                  <c:v>0.000510008010948157</c:v>
                </c:pt>
                <c:pt idx="108">
                  <c:v>0.000510409623816148</c:v>
                </c:pt>
                <c:pt idx="109">
                  <c:v>0.000510797158800667</c:v>
                </c:pt>
                <c:pt idx="110">
                  <c:v>0.00051117110937894</c:v>
                </c:pt>
                <c:pt idx="111">
                  <c:v>0.00051153195173015</c:v>
                </c:pt>
                <c:pt idx="112">
                  <c:v>0.0005118801453418</c:v>
                </c:pt>
                <c:pt idx="113">
                  <c:v>0.000512216133594805</c:v>
                </c:pt>
                <c:pt idx="114">
                  <c:v>0.000512540344328088</c:v>
                </c:pt>
                <c:pt idx="115">
                  <c:v>0.000512853190383376</c:v>
                </c:pt>
                <c:pt idx="116">
                  <c:v>0.000513155070130906</c:v>
                </c:pt>
                <c:pt idx="117">
                  <c:v>0.000513446367976692</c:v>
                </c:pt>
                <c:pt idx="118">
                  <c:v>0.000513727454852026</c:v>
                </c:pt>
                <c:pt idx="119">
                  <c:v>0.000513998688685808</c:v>
                </c:pt>
                <c:pt idx="120">
                  <c:v>0.000514260414860325</c:v>
                </c:pt>
                <c:pt idx="121">
                  <c:v>0.000514512966651052</c:v>
                </c:pt>
                <c:pt idx="122">
                  <c:v>0.000514756665651036</c:v>
                </c:pt>
                <c:pt idx="123">
                  <c:v>0.000514991822180404</c:v>
                </c:pt>
                <c:pt idx="124">
                  <c:v>0.000515218735681519</c:v>
                </c:pt>
                <c:pt idx="125">
                  <c:v>0.000515437695100279</c:v>
                </c:pt>
                <c:pt idx="126">
                  <c:v>0.000515648979254057</c:v>
                </c:pt>
                <c:pt idx="127">
                  <c:v>0.000515852857186737</c:v>
                </c:pt>
                <c:pt idx="128">
                  <c:v>0.000516049588511309</c:v>
                </c:pt>
                <c:pt idx="129">
                  <c:v>0.000516239423740455</c:v>
                </c:pt>
                <c:pt idx="130">
                  <c:v>0.000516422604605541</c:v>
                </c:pt>
                <c:pt idx="131">
                  <c:v>0.000516599364364437</c:v>
                </c:pt>
                <c:pt idx="132">
                  <c:v>0.000516769928098538</c:v>
                </c:pt>
                <c:pt idx="133">
                  <c:v>0.000516934512999379</c:v>
                </c:pt>
                <c:pt idx="134">
                  <c:v>0.000517093328645198</c:v>
                </c:pt>
                <c:pt idx="135">
                  <c:v>0.000517246577267814</c:v>
                </c:pt>
                <c:pt idx="136">
                  <c:v>0.000517394454010136</c:v>
                </c:pt>
                <c:pt idx="137">
                  <c:v>0.000517537147174659</c:v>
                </c:pt>
                <c:pt idx="138">
                  <c:v>0.00051767483846324</c:v>
                </c:pt>
                <c:pt idx="139">
                  <c:v>0.000517807703208476</c:v>
                </c:pt>
                <c:pt idx="140">
                  <c:v>0.000517935910596963</c:v>
                </c:pt>
                <c:pt idx="141">
                  <c:v>0.000518059623884741</c:v>
                </c:pt>
                <c:pt idx="142">
                  <c:v>0.000518179000605173</c:v>
                </c:pt>
                <c:pt idx="143">
                  <c:v>0.000518294192769547</c:v>
                </c:pt>
                <c:pt idx="144">
                  <c:v>0.000518405347060646</c:v>
                </c:pt>
                <c:pt idx="145">
                  <c:v>0.000518512605019525</c:v>
                </c:pt>
                <c:pt idx="146">
                  <c:v>0.00051861610322575</c:v>
                </c:pt>
                <c:pt idx="147">
                  <c:v>0.000518715973471313</c:v>
                </c:pt>
                <c:pt idx="148">
                  <c:v>0.000518812342928451</c:v>
                </c:pt>
                <c:pt idx="149">
                  <c:v>0.000518905334311589</c:v>
                </c:pt>
                <c:pt idx="150">
                  <c:v>0.000518995066033595</c:v>
                </c:pt>
                <c:pt idx="151">
                  <c:v>0.00051908165235657</c:v>
                </c:pt>
                <c:pt idx="152">
                  <c:v>0.000519165203537342</c:v>
                </c:pt>
                <c:pt idx="153">
                  <c:v>0.000519245825967866</c:v>
                </c:pt>
                <c:pt idx="154">
                  <c:v>0.0005193236223107</c:v>
                </c:pt>
                <c:pt idx="155">
                  <c:v>0.000519398691629736</c:v>
                </c:pt>
                <c:pt idx="156">
                  <c:v>0.000519471129516341</c:v>
                </c:pt>
                <c:pt idx="157">
                  <c:v>0.000519541028211083</c:v>
                </c:pt>
                <c:pt idx="158">
                  <c:v>0.000519608476721187</c:v>
                </c:pt>
                <c:pt idx="159">
                  <c:v>0.000519673560933877</c:v>
                </c:pt>
                <c:pt idx="160">
                  <c:v>0.000519736363725738</c:v>
                </c:pt>
                <c:pt idx="161">
                  <c:v>0.000519796965068254</c:v>
                </c:pt>
                <c:pt idx="162">
                  <c:v>0.000519855442129636</c:v>
                </c:pt>
                <c:pt idx="163">
                  <c:v>0.000519911869373094</c:v>
                </c:pt>
                <c:pt idx="164">
                  <c:v>0.000519966318651647</c:v>
                </c:pt>
                <c:pt idx="165">
                  <c:v>0.000520018859299627</c:v>
                </c:pt>
                <c:pt idx="166">
                  <c:v>0.000520069558220962</c:v>
                </c:pt>
                <c:pt idx="167">
                  <c:v>0.000520118479974374</c:v>
                </c:pt>
                <c:pt idx="168">
                  <c:v>0.000520165686855583</c:v>
                </c:pt>
                <c:pt idx="169">
                  <c:v>0.000520211238976635</c:v>
                </c:pt>
                <c:pt idx="170">
                  <c:v>0.000520255194342445</c:v>
                </c:pt>
                <c:pt idx="171">
                  <c:v>0.000520297608924662</c:v>
                </c:pt>
                <c:pt idx="172">
                  <c:v>0.000520338536732939</c:v>
                </c:pt>
                <c:pt idx="173">
                  <c:v>0.00052037802988371</c:v>
                </c:pt>
                <c:pt idx="174">
                  <c:v>0.000520416138666552</c:v>
                </c:pt>
                <c:pt idx="175">
                  <c:v>0.000520452911608223</c:v>
                </c:pt>
                <c:pt idx="176">
                  <c:v>0.000520488395534453</c:v>
                </c:pt>
                <c:pt idx="177">
                  <c:v>0.000520522635629575</c:v>
                </c:pt>
                <c:pt idx="178">
                  <c:v>0.000520555675494059</c:v>
                </c:pt>
                <c:pt idx="179">
                  <c:v>0.00052058755720003</c:v>
                </c:pt>
                <c:pt idx="180">
                  <c:v>0.000520618321344843</c:v>
                </c:pt>
                <c:pt idx="181">
                  <c:v>0.000520648007102781</c:v>
                </c:pt>
                <c:pt idx="182">
                  <c:v>0.000520676652274935</c:v>
                </c:pt>
                <c:pt idx="183">
                  <c:v>0.000520704293337341</c:v>
                </c:pt>
                <c:pt idx="184">
                  <c:v>0.000520730965487428</c:v>
                </c:pt>
                <c:pt idx="185">
                  <c:v>0.000520756702688835</c:v>
                </c:pt>
                <c:pt idx="186">
                  <c:v>0.000520781537714661</c:v>
                </c:pt>
                <c:pt idx="187">
                  <c:v>0.000520805502189199</c:v>
                </c:pt>
                <c:pt idx="188">
                  <c:v>0.000520828626628204</c:v>
                </c:pt>
                <c:pt idx="189">
                  <c:v>0.000520850940477748</c:v>
                </c:pt>
                <c:pt idx="190">
                  <c:v>0.000520872472151724</c:v>
                </c:pt>
                <c:pt idx="191">
                  <c:v>0.000520893249068017</c:v>
                </c:pt>
                <c:pt idx="192">
                  <c:v>0.000520913297683428</c:v>
                </c:pt>
                <c:pt idx="193">
                  <c:v>0.000520932643527354</c:v>
                </c:pt>
                <c:pt idx="194">
                  <c:v>0.000520951311234302</c:v>
                </c:pt>
                <c:pt idx="195">
                  <c:v>0.000520969324575258</c:v>
                </c:pt>
                <c:pt idx="196">
                  <c:v>0.000520986706487952</c:v>
                </c:pt>
                <c:pt idx="197">
                  <c:v>0.000521003479106072</c:v>
                </c:pt>
                <c:pt idx="198">
                  <c:v>0.000521019663787445</c:v>
                </c:pt>
                <c:pt idx="199">
                  <c:v>0.000521035281141233</c:v>
                </c:pt>
                <c:pt idx="200">
                  <c:v>0.000521050351054178</c:v>
                </c:pt>
                <c:pt idx="201">
                  <c:v>0.000521064892715927</c:v>
                </c:pt>
                <c:pt idx="202">
                  <c:v>0.000521078924643461</c:v>
                </c:pt>
                <c:pt idx="203">
                  <c:v>0.000521092464704682</c:v>
                </c:pt>
                <c:pt idx="204">
                  <c:v>0.000521105530141161</c:v>
                </c:pt>
                <c:pt idx="205">
                  <c:v>0.000521118137590093</c:v>
                </c:pt>
                <c:pt idx="206">
                  <c:v>0.000521130303105483</c:v>
                </c:pt>
                <c:pt idx="207">
                  <c:v>0.000521142042178592</c:v>
                </c:pt>
                <c:pt idx="208">
                  <c:v>0.000521153369757656</c:v>
                </c:pt>
                <c:pt idx="209">
                  <c:v>0.000521164300266927</c:v>
                </c:pt>
                <c:pt idx="210">
                  <c:v>0.00052117484762504</c:v>
                </c:pt>
                <c:pt idx="211">
                  <c:v>0.000521185025262733</c:v>
                </c:pt>
                <c:pt idx="212">
                  <c:v>0.00052119484613995</c:v>
                </c:pt>
                <c:pt idx="213">
                  <c:v>0.000521204322762349</c:v>
                </c:pt>
                <c:pt idx="214">
                  <c:v>0.00052121346719722</c:v>
                </c:pt>
                <c:pt idx="215">
                  <c:v>0.000521222291088855</c:v>
                </c:pt>
                <c:pt idx="216">
                  <c:v>0.000521230805673373</c:v>
                </c:pt>
                <c:pt idx="217">
                  <c:v>0.00052123902179303</c:v>
                </c:pt>
                <c:pt idx="218">
                  <c:v>0.000521246949910025</c:v>
                </c:pt>
                <c:pt idx="219">
                  <c:v>0.000521254600119821</c:v>
                </c:pt>
                <c:pt idx="220">
                  <c:v>0.000521261982164002</c:v>
                </c:pt>
                <c:pt idx="221">
                  <c:v>0.000521269105442675</c:v>
                </c:pt>
                <c:pt idx="222">
                  <c:v>0.000521275979026442</c:v>
                </c:pt>
                <c:pt idx="223">
                  <c:v>0.000521282611667951</c:v>
                </c:pt>
                <c:pt idx="224">
                  <c:v>0.00052128901181304</c:v>
                </c:pt>
                <c:pt idx="225">
                  <c:v>0.00052129518761149</c:v>
                </c:pt>
                <c:pt idx="226">
                  <c:v>0.000521301146927408</c:v>
                </c:pt>
                <c:pt idx="227">
                  <c:v>0.000521306897349234</c:v>
                </c:pt>
                <c:pt idx="228">
                  <c:v>0.000521312446199411</c:v>
                </c:pt>
                <c:pt idx="229">
                  <c:v>0.000521317800543702</c:v>
                </c:pt>
                <c:pt idx="230">
                  <c:v>0.000521322967200196</c:v>
                </c:pt>
                <c:pt idx="231">
                  <c:v>0.000521327952747981</c:v>
                </c:pt>
                <c:pt idx="232">
                  <c:v>0.000521332763535526</c:v>
                </c:pt>
                <c:pt idx="233">
                  <c:v>0.000521337405688768</c:v>
                </c:pt>
                <c:pt idx="234">
                  <c:v>0.000521341885118906</c:v>
                </c:pt>
                <c:pt idx="235">
                  <c:v>0.000521346207529933</c:v>
                </c:pt>
                <c:pt idx="236">
                  <c:v>0.000521350378425897</c:v>
                </c:pt>
                <c:pt idx="237">
                  <c:v>0.000521354403117912</c:v>
                </c:pt>
                <c:pt idx="238">
                  <c:v>0.000521358286730919</c:v>
                </c:pt>
                <c:pt idx="239">
                  <c:v>0.000521362034210212</c:v>
                </c:pt>
                <c:pt idx="240">
                  <c:v>0.000521365650327736</c:v>
                </c:pt>
                <c:pt idx="241">
                  <c:v>0.000521369139688163</c:v>
                </c:pt>
                <c:pt idx="242">
                  <c:v>0.000521372506734756</c:v>
                </c:pt>
                <c:pt idx="243">
                  <c:v>0.000521375755755028</c:v>
                </c:pt>
                <c:pt idx="244">
                  <c:v>0.000521378890886198</c:v>
                </c:pt>
                <c:pt idx="245">
                  <c:v>0.000521381916120463</c:v>
                </c:pt>
                <c:pt idx="246">
                  <c:v>0.000521384835310079</c:v>
                </c:pt>
                <c:pt idx="247">
                  <c:v>0.000521387652172269</c:v>
                </c:pt>
                <c:pt idx="248">
                  <c:v>0.000521390370293953</c:v>
                </c:pt>
                <c:pt idx="249">
                  <c:v>0.000521392993136319</c:v>
                </c:pt>
                <c:pt idx="250">
                  <c:v>0.000521395524039227</c:v>
                </c:pt>
                <c:pt idx="251">
                  <c:v>0.000521397966225465</c:v>
                </c:pt>
                <c:pt idx="252">
                  <c:v>0.000521400322804852</c:v>
                </c:pt>
                <c:pt idx="253">
                  <c:v>0.000521402596778195</c:v>
                </c:pt>
                <c:pt idx="254">
                  <c:v>0.000521404791041115</c:v>
                </c:pt>
                <c:pt idx="255">
                  <c:v>0.00052140690838773</c:v>
                </c:pt>
                <c:pt idx="256">
                  <c:v>0.000521408951514216</c:v>
                </c:pt>
                <c:pt idx="257">
                  <c:v>0.000521410923022239</c:v>
                </c:pt>
                <c:pt idx="258">
                  <c:v>0.000521412825422266</c:v>
                </c:pt>
                <c:pt idx="259">
                  <c:v>0.000521414661136765</c:v>
                </c:pt>
                <c:pt idx="260">
                  <c:v>0.00052141643250329</c:v>
                </c:pt>
                <c:pt idx="261">
                  <c:v>0.000521418141777453</c:v>
                </c:pt>
                <c:pt idx="262">
                  <c:v>0.0005214197911358</c:v>
                </c:pt>
                <c:pt idx="263">
                  <c:v>0.000521421382678583</c:v>
                </c:pt>
                <c:pt idx="264">
                  <c:v>0.000521422918432432</c:v>
                </c:pt>
                <c:pt idx="265">
                  <c:v>0.000521424400352937</c:v>
                </c:pt>
                <c:pt idx="266">
                  <c:v>0.000521425830327138</c:v>
                </c:pt>
                <c:pt idx="267">
                  <c:v>0.000521427210175927</c:v>
                </c:pt>
                <c:pt idx="268">
                  <c:v>0.00052142854165637</c:v>
                </c:pt>
                <c:pt idx="269">
                  <c:v>0.00052142982646394</c:v>
                </c:pt>
                <c:pt idx="270">
                  <c:v>0.000521431066234677</c:v>
                </c:pt>
                <c:pt idx="271">
                  <c:v>0.000521432262547275</c:v>
                </c:pt>
                <c:pt idx="272">
                  <c:v>0.000521433416925088</c:v>
                </c:pt>
                <c:pt idx="273">
                  <c:v>0.000521434530838071</c:v>
                </c:pt>
                <c:pt idx="274">
                  <c:v>0.000521435605704653</c:v>
                </c:pt>
                <c:pt idx="275">
                  <c:v>0.000521436642893541</c:v>
                </c:pt>
                <c:pt idx="276">
                  <c:v>0.000521437643725467</c:v>
                </c:pt>
                <c:pt idx="277">
                  <c:v>0.000521438609474863</c:v>
                </c:pt>
                <c:pt idx="278">
                  <c:v>0.00052143954137149</c:v>
                </c:pt>
                <c:pt idx="279">
                  <c:v>0.000521440440602003</c:v>
                </c:pt>
                <c:pt idx="280">
                  <c:v>0.000521441308311457</c:v>
                </c:pt>
                <c:pt idx="281">
                  <c:v>0.000521442145604774</c:v>
                </c:pt>
                <c:pt idx="282">
                  <c:v>0.00052144295354814</c:v>
                </c:pt>
                <c:pt idx="283">
                  <c:v>0.00052144373317037</c:v>
                </c:pt>
                <c:pt idx="284">
                  <c:v>0.000521444485464215</c:v>
                </c:pt>
                <c:pt idx="285">
                  <c:v>0.000521445211387628</c:v>
                </c:pt>
                <c:pt idx="286">
                  <c:v>0.000521445911864981</c:v>
                </c:pt>
                <c:pt idx="287">
                  <c:v>0.000521446587788244</c:v>
                </c:pt>
                <c:pt idx="288">
                  <c:v>0.00052144724001812</c:v>
                </c:pt>
                <c:pt idx="289">
                  <c:v>0.000521447869385142</c:v>
                </c:pt>
                <c:pt idx="290">
                  <c:v>0.000521448476690731</c:v>
                </c:pt>
                <c:pt idx="291">
                  <c:v>0.000521449062708214</c:v>
                </c:pt>
                <c:pt idx="292">
                  <c:v>0.000521449628183811</c:v>
                </c:pt>
                <c:pt idx="293">
                  <c:v>0.000521450173837584</c:v>
                </c:pt>
                <c:pt idx="294">
                  <c:v>0.000521450700364355</c:v>
                </c:pt>
                <c:pt idx="295">
                  <c:v>0.000521451208434589</c:v>
                </c:pt>
                <c:pt idx="296">
                  <c:v>0.00052145169869525</c:v>
                </c:pt>
                <c:pt idx="297">
                  <c:v>0.000521452171770625</c:v>
                </c:pt>
                <c:pt idx="298">
                  <c:v>0.000521452628263114</c:v>
                </c:pt>
                <c:pt idx="299">
                  <c:v>0.000521453068754004</c:v>
                </c:pt>
                <c:pt idx="300">
                  <c:v>0.000521453493804206</c:v>
                </c:pt>
                <c:pt idx="301">
                  <c:v>0.000521453903954966</c:v>
                </c:pt>
                <c:pt idx="302">
                  <c:v>0.000521454299728561</c:v>
                </c:pt>
                <c:pt idx="303">
                  <c:v>0.000521454681628959</c:v>
                </c:pt>
                <c:pt idx="304">
                  <c:v>0.000521455050142461</c:v>
                </c:pt>
                <c:pt idx="305">
                  <c:v>0.000521455405738325</c:v>
                </c:pt>
                <c:pt idx="306">
                  <c:v>0.000521455748869356</c:v>
                </c:pt>
                <c:pt idx="307">
                  <c:v>0.000521456079972489</c:v>
                </c:pt>
                <c:pt idx="308">
                  <c:v>0.000521456399469342</c:v>
                </c:pt>
                <c:pt idx="309">
                  <c:v>0.000521456707766754</c:v>
                </c:pt>
                <c:pt idx="310">
                  <c:v>0.000521457005257304</c:v>
                </c:pt>
                <c:pt idx="311">
                  <c:v>0.000521457292319808</c:v>
                </c:pt>
                <c:pt idx="312">
                  <c:v>0.000521457569319805</c:v>
                </c:pt>
                <c:pt idx="313">
                  <c:v>0.000521457836610019</c:v>
                </c:pt>
                <c:pt idx="314">
                  <c:v>0.000521458094530811</c:v>
                </c:pt>
                <c:pt idx="315">
                  <c:v>0.000521458343410611</c:v>
                </c:pt>
                <c:pt idx="316">
                  <c:v>0.000521458583566336</c:v>
                </c:pt>
                <c:pt idx="317">
                  <c:v>0.000521458815303793</c:v>
                </c:pt>
                <c:pt idx="318">
                  <c:v>0.000521459038918073</c:v>
                </c:pt>
                <c:pt idx="319">
                  <c:v>0.000521459254693919</c:v>
                </c:pt>
                <c:pt idx="320">
                  <c:v>0.000521459462906094</c:v>
                </c:pt>
                <c:pt idx="321">
                  <c:v>0.000521459663819732</c:v>
                </c:pt>
                <c:pt idx="322">
                  <c:v>0.000521459857690671</c:v>
                </c:pt>
                <c:pt idx="323">
                  <c:v>0.00052146004476578</c:v>
                </c:pt>
                <c:pt idx="324">
                  <c:v>0.000521460225283277</c:v>
                </c:pt>
                <c:pt idx="325">
                  <c:v>0.000521460399473027</c:v>
                </c:pt>
                <c:pt idx="326">
                  <c:v>0.00052146056755684</c:v>
                </c:pt>
                <c:pt idx="327">
                  <c:v>0.000521460729748749</c:v>
                </c:pt>
                <c:pt idx="328">
                  <c:v>0.000521460886255286</c:v>
                </c:pt>
                <c:pt idx="329">
                  <c:v>0.000521461037275742</c:v>
                </c:pt>
                <c:pt idx="330">
                  <c:v>0.000521461183002422</c:v>
                </c:pt>
                <c:pt idx="331">
                  <c:v>0.000521461323620891</c:v>
                </c:pt>
                <c:pt idx="332">
                  <c:v>0.000521461459310209</c:v>
                </c:pt>
                <c:pt idx="333">
                  <c:v>0.00052146159024316</c:v>
                </c:pt>
                <c:pt idx="334">
                  <c:v>0.00052146171658647</c:v>
                </c:pt>
                <c:pt idx="335">
                  <c:v>0.000521461838501021</c:v>
                </c:pt>
                <c:pt idx="336">
                  <c:v>0.000521461956142057</c:v>
                </c:pt>
                <c:pt idx="337">
                  <c:v>0.000521462069659379</c:v>
                </c:pt>
                <c:pt idx="338">
                  <c:v>0.000521462179197536</c:v>
                </c:pt>
                <c:pt idx="339">
                  <c:v>0.000521462284896011</c:v>
                </c:pt>
                <c:pt idx="340">
                  <c:v>0.0005214623868894</c:v>
                </c:pt>
                <c:pt idx="341">
                  <c:v>0.000521462485307576</c:v>
                </c:pt>
                <c:pt idx="342">
                  <c:v>0.000521462580275864</c:v>
                </c:pt>
                <c:pt idx="343">
                  <c:v>0.000521462671915194</c:v>
                </c:pt>
                <c:pt idx="344">
                  <c:v>0.000521462760342256</c:v>
                </c:pt>
                <c:pt idx="345">
                  <c:v>0.000521462845669652</c:v>
                </c:pt>
                <c:pt idx="346">
                  <c:v>0.000521462928006036</c:v>
                </c:pt>
                <c:pt idx="347">
                  <c:v>0.000521463007456252</c:v>
                </c:pt>
                <c:pt idx="348">
                  <c:v>0.000521463084121471</c:v>
                </c:pt>
                <c:pt idx="349">
                  <c:v>0.000521463158099315</c:v>
                </c:pt>
                <c:pt idx="350">
                  <c:v>0.000521463229483987</c:v>
                </c:pt>
                <c:pt idx="351">
                  <c:v>0.000521463298366386</c:v>
                </c:pt>
                <c:pt idx="352">
                  <c:v>0.000521463364834225</c:v>
                </c:pt>
                <c:pt idx="353">
                  <c:v>0.000521463428972142</c:v>
                </c:pt>
                <c:pt idx="354">
                  <c:v>0.000521463490861809</c:v>
                </c:pt>
                <c:pt idx="355">
                  <c:v>0.000521463550582035</c:v>
                </c:pt>
                <c:pt idx="356">
                  <c:v>0.000521463608208865</c:v>
                </c:pt>
                <c:pt idx="357">
                  <c:v>0.000521463663815682</c:v>
                </c:pt>
                <c:pt idx="358">
                  <c:v>0.000521463717473292</c:v>
                </c:pt>
                <c:pt idx="359">
                  <c:v>0.000521463769250022</c:v>
                </c:pt>
                <c:pt idx="360">
                  <c:v>0.000521463819211804</c:v>
                </c:pt>
                <c:pt idx="361">
                  <c:v>0.000521463867422257</c:v>
                </c:pt>
                <c:pt idx="362">
                  <c:v>0.000521463913942771</c:v>
                </c:pt>
                <c:pt idx="363">
                  <c:v>0.000521463958832584</c:v>
                </c:pt>
                <c:pt idx="364">
                  <c:v>0.000521464002148858</c:v>
                </c:pt>
                <c:pt idx="365">
                  <c:v>0.000521464043946751</c:v>
                </c:pt>
                <c:pt idx="366">
                  <c:v>0.000521464084279488</c:v>
                </c:pt>
                <c:pt idx="367">
                  <c:v>0.000521464123198425</c:v>
                </c:pt>
                <c:pt idx="368">
                  <c:v>0.000521464160753123</c:v>
                </c:pt>
                <c:pt idx="369">
                  <c:v>0.000521464196991403</c:v>
                </c:pt>
                <c:pt idx="370">
                  <c:v>0.000521464231959409</c:v>
                </c:pt>
                <c:pt idx="371">
                  <c:v>0.000521464265701668</c:v>
                </c:pt>
                <c:pt idx="372">
                  <c:v>0.000521464298261147</c:v>
                </c:pt>
                <c:pt idx="373">
                  <c:v>0.000521464329679307</c:v>
                </c:pt>
                <c:pt idx="374">
                  <c:v>0.000521464359996155</c:v>
                </c:pt>
                <c:pt idx="375">
                  <c:v>0.000521464389250295</c:v>
                </c:pt>
                <c:pt idx="376">
                  <c:v>0.000521464417478979</c:v>
                </c:pt>
                <c:pt idx="377">
                  <c:v>0.000521464444718153</c:v>
                </c:pt>
                <c:pt idx="378">
                  <c:v>0.000521464471002502</c:v>
                </c:pt>
                <c:pt idx="379">
                  <c:v>0.000521464496365496</c:v>
                </c:pt>
                <c:pt idx="380">
                  <c:v>0.000521464520839431</c:v>
                </c:pt>
                <c:pt idx="381">
                  <c:v>0.000521464544455473</c:v>
                </c:pt>
                <c:pt idx="382">
                  <c:v>0.000521464567243693</c:v>
                </c:pt>
                <c:pt idx="383">
                  <c:v>0.000521464589233109</c:v>
                </c:pt>
                <c:pt idx="384">
                  <c:v>0.000521464610451722</c:v>
                </c:pt>
                <c:pt idx="385">
                  <c:v>0.000521464630926551</c:v>
                </c:pt>
                <c:pt idx="386">
                  <c:v>0.000521464650683669</c:v>
                </c:pt>
                <c:pt idx="387">
                  <c:v>0.000521464669748233</c:v>
                </c:pt>
                <c:pt idx="388">
                  <c:v>0.000521464688144519</c:v>
                </c:pt>
                <c:pt idx="389">
                  <c:v>0.000521464705895954</c:v>
                </c:pt>
                <c:pt idx="390">
                  <c:v>0.000521464723025142</c:v>
                </c:pt>
                <c:pt idx="391">
                  <c:v>0.000521464739553893</c:v>
                </c:pt>
                <c:pt idx="392">
                  <c:v>0.000521464755503257</c:v>
                </c:pt>
                <c:pt idx="393">
                  <c:v>0.000521464770893541</c:v>
                </c:pt>
                <c:pt idx="394">
                  <c:v>0.000521464785744344</c:v>
                </c:pt>
                <c:pt idx="395">
                  <c:v>0.000521464800074577</c:v>
                </c:pt>
                <c:pt idx="396">
                  <c:v>0.000521464813902486</c:v>
                </c:pt>
                <c:pt idx="397">
                  <c:v>0.000521464827245681</c:v>
                </c:pt>
                <c:pt idx="398">
                  <c:v>0.000521464840121152</c:v>
                </c:pt>
                <c:pt idx="399">
                  <c:v>0.000521464852545294</c:v>
                </c:pt>
                <c:pt idx="400">
                  <c:v>0.000521464864533928</c:v>
                </c:pt>
                <c:pt idx="401">
                  <c:v>0.00052146487610232</c:v>
                </c:pt>
                <c:pt idx="402">
                  <c:v>0.000521464887265201</c:v>
                </c:pt>
                <c:pt idx="403">
                  <c:v>0.000521464898036786</c:v>
                </c:pt>
                <c:pt idx="404">
                  <c:v>0.00052146490843079</c:v>
                </c:pt>
                <c:pt idx="405">
                  <c:v>0.00052146491846045</c:v>
                </c:pt>
                <c:pt idx="406">
                  <c:v>0.000521464928138536</c:v>
                </c:pt>
                <c:pt idx="407">
                  <c:v>0.000521464937477372</c:v>
                </c:pt>
                <c:pt idx="408">
                  <c:v>0.000521464946488851</c:v>
                </c:pt>
                <c:pt idx="409">
                  <c:v>0.000521464955184447</c:v>
                </c:pt>
                <c:pt idx="410">
                  <c:v>0.000521464963575233</c:v>
                </c:pt>
                <c:pt idx="411">
                  <c:v>0.000521464971671894</c:v>
                </c:pt>
                <c:pt idx="412">
                  <c:v>0.00052146497948474</c:v>
                </c:pt>
                <c:pt idx="413">
                  <c:v>0.000521464987023719</c:v>
                </c:pt>
                <c:pt idx="414">
                  <c:v>0.000521464994298432</c:v>
                </c:pt>
                <c:pt idx="415">
                  <c:v>0.000521465001318141</c:v>
                </c:pt>
                <c:pt idx="416">
                  <c:v>0.000521465008091786</c:v>
                </c:pt>
                <c:pt idx="417">
                  <c:v>0.000521465014627992</c:v>
                </c:pt>
                <c:pt idx="418">
                  <c:v>0.000521465020935082</c:v>
                </c:pt>
                <c:pt idx="419">
                  <c:v>0.000521465027021087</c:v>
                </c:pt>
                <c:pt idx="420">
                  <c:v>0.000521465032893757</c:v>
                </c:pt>
                <c:pt idx="421">
                  <c:v>0.00052146503856057</c:v>
                </c:pt>
                <c:pt idx="422">
                  <c:v>0.000521465044028742</c:v>
                </c:pt>
                <c:pt idx="423">
                  <c:v>0.000521465049305237</c:v>
                </c:pt>
                <c:pt idx="424">
                  <c:v>0.000521465054396772</c:v>
                </c:pt>
                <c:pt idx="425">
                  <c:v>0.000521465059309833</c:v>
                </c:pt>
                <c:pt idx="426">
                  <c:v>0.000521465064050673</c:v>
                </c:pt>
                <c:pt idx="427">
                  <c:v>0.000521465068625332</c:v>
                </c:pt>
                <c:pt idx="428">
                  <c:v>0.000521465073039633</c:v>
                </c:pt>
                <c:pt idx="429">
                  <c:v>0.000521465077299198</c:v>
                </c:pt>
                <c:pt idx="430">
                  <c:v>0.000521465081409451</c:v>
                </c:pt>
                <c:pt idx="431">
                  <c:v>0.000521465085375626</c:v>
                </c:pt>
                <c:pt idx="432">
                  <c:v>0.000521465089202773</c:v>
                </c:pt>
                <c:pt idx="433">
                  <c:v>0.000521465092895765</c:v>
                </c:pt>
                <c:pt idx="434">
                  <c:v>0.000521465096459306</c:v>
                </c:pt>
                <c:pt idx="435">
                  <c:v>0.000521465099897933</c:v>
                </c:pt>
                <c:pt idx="436">
                  <c:v>0.000521465103216024</c:v>
                </c:pt>
                <c:pt idx="437">
                  <c:v>0.000521465106417805</c:v>
                </c:pt>
                <c:pt idx="438">
                  <c:v>0.000521465109507353</c:v>
                </c:pt>
                <c:pt idx="439">
                  <c:v>0.000521465112488601</c:v>
                </c:pt>
                <c:pt idx="440">
                  <c:v>0.000521465115365347</c:v>
                </c:pt>
                <c:pt idx="441">
                  <c:v>0.000521465118141254</c:v>
                </c:pt>
                <c:pt idx="442">
                  <c:v>0.000521465120819855</c:v>
                </c:pt>
                <c:pt idx="443">
                  <c:v>0.000521465123404562</c:v>
                </c:pt>
                <c:pt idx="444">
                  <c:v>0.000521465125898667</c:v>
                </c:pt>
                <c:pt idx="445">
                  <c:v>0.000521465128305345</c:v>
                </c:pt>
                <c:pt idx="446">
                  <c:v>0.000521465130627661</c:v>
                </c:pt>
                <c:pt idx="447">
                  <c:v>0.000521465132868572</c:v>
                </c:pt>
                <c:pt idx="448">
                  <c:v>0.000521465135030931</c:v>
                </c:pt>
                <c:pt idx="449">
                  <c:v>0.000521465137117492</c:v>
                </c:pt>
                <c:pt idx="450">
                  <c:v>0.000521465139130913</c:v>
                </c:pt>
                <c:pt idx="451">
                  <c:v>0.000521465141073756</c:v>
                </c:pt>
                <c:pt idx="452">
                  <c:v>0.000521465142948496</c:v>
                </c:pt>
                <c:pt idx="453">
                  <c:v>0.00052146514475752</c:v>
                </c:pt>
                <c:pt idx="454">
                  <c:v>0.000521465146503131</c:v>
                </c:pt>
                <c:pt idx="455">
                  <c:v>0.000521465148187554</c:v>
                </c:pt>
                <c:pt idx="456">
                  <c:v>0.000521465149812931</c:v>
                </c:pt>
                <c:pt idx="457">
                  <c:v>0.000521465151381333</c:v>
                </c:pt>
                <c:pt idx="458">
                  <c:v>0.000521465152894758</c:v>
                </c:pt>
                <c:pt idx="459">
                  <c:v>0.000521465154355132</c:v>
                </c:pt>
                <c:pt idx="460">
                  <c:v>0.000521465155764315</c:v>
                </c:pt>
                <c:pt idx="461">
                  <c:v>0.000521465157124101</c:v>
                </c:pt>
                <c:pt idx="462">
                  <c:v>0.000521465158436223</c:v>
                </c:pt>
                <c:pt idx="463">
                  <c:v>0.00052146515970235</c:v>
                </c:pt>
                <c:pt idx="464">
                  <c:v>0.000521465160924095</c:v>
                </c:pt>
                <c:pt idx="465">
                  <c:v>0.000521465162103014</c:v>
                </c:pt>
                <c:pt idx="466">
                  <c:v>0.000521465163240607</c:v>
                </c:pt>
                <c:pt idx="467">
                  <c:v>0.000521465164338324</c:v>
                </c:pt>
                <c:pt idx="468">
                  <c:v>0.000521465165397563</c:v>
                </c:pt>
                <c:pt idx="469">
                  <c:v>0.000521465166419672</c:v>
                </c:pt>
                <c:pt idx="470">
                  <c:v>0.000521465167405952</c:v>
                </c:pt>
                <c:pt idx="471">
                  <c:v>0.00052146516835766</c:v>
                </c:pt>
                <c:pt idx="472">
                  <c:v>0.000521465169276007</c:v>
                </c:pt>
                <c:pt idx="473">
                  <c:v>0.000521465170162163</c:v>
                </c:pt>
                <c:pt idx="474">
                  <c:v>0.000521465171017256</c:v>
                </c:pt>
                <c:pt idx="475">
                  <c:v>0.000521465171842376</c:v>
                </c:pt>
                <c:pt idx="476">
                  <c:v>0.000521465172638572</c:v>
                </c:pt>
                <c:pt idx="477">
                  <c:v>0.000521465173406859</c:v>
                </c:pt>
                <c:pt idx="478">
                  <c:v>0.000521465174148215</c:v>
                </c:pt>
                <c:pt idx="479">
                  <c:v>0.000521465174863584</c:v>
                </c:pt>
                <c:pt idx="480">
                  <c:v>0.000521465175553876</c:v>
                </c:pt>
                <c:pt idx="481">
                  <c:v>0.000521465176219972</c:v>
                </c:pt>
                <c:pt idx="482">
                  <c:v>0.000521465176862719</c:v>
                </c:pt>
                <c:pt idx="483">
                  <c:v>0.000521465177482935</c:v>
                </c:pt>
                <c:pt idx="484">
                  <c:v>0.000521465178081411</c:v>
                </c:pt>
                <c:pt idx="485">
                  <c:v>0.000521465178658908</c:v>
                </c:pt>
                <c:pt idx="486">
                  <c:v>0.000521465179216161</c:v>
                </c:pt>
                <c:pt idx="487">
                  <c:v>0.000521465179753882</c:v>
                </c:pt>
                <c:pt idx="488">
                  <c:v>0.000521465180272753</c:v>
                </c:pt>
                <c:pt idx="489">
                  <c:v>0.000521465180773436</c:v>
                </c:pt>
                <c:pt idx="490">
                  <c:v>0.000521465181256569</c:v>
                </c:pt>
                <c:pt idx="491">
                  <c:v>0.000521465181722766</c:v>
                </c:pt>
                <c:pt idx="492">
                  <c:v>0.000521465182172621</c:v>
                </c:pt>
                <c:pt idx="493">
                  <c:v>0.000521465182606707</c:v>
                </c:pt>
                <c:pt idx="494">
                  <c:v>0.000521465183025577</c:v>
                </c:pt>
                <c:pt idx="495">
                  <c:v>0.000521465183429765</c:v>
                </c:pt>
                <c:pt idx="496">
                  <c:v>0.000521465183819784</c:v>
                </c:pt>
                <c:pt idx="497">
                  <c:v>0.000521465184196132</c:v>
                </c:pt>
                <c:pt idx="498">
                  <c:v>0.000521465184559287</c:v>
                </c:pt>
                <c:pt idx="499">
                  <c:v>0.000521465184909713</c:v>
                </c:pt>
                <c:pt idx="500">
                  <c:v>0.000521465185247855</c:v>
                </c:pt>
                <c:pt idx="501">
                  <c:v>0.000521465185574144</c:v>
                </c:pt>
                <c:pt idx="502">
                  <c:v>0.000521465185888995</c:v>
                </c:pt>
                <c:pt idx="503">
                  <c:v>0.00052146518619281</c:v>
                </c:pt>
                <c:pt idx="504">
                  <c:v>0.000521465186485976</c:v>
                </c:pt>
                <c:pt idx="505">
                  <c:v>0.000521465186768864</c:v>
                </c:pt>
                <c:pt idx="506">
                  <c:v>0.000521465187041837</c:v>
                </c:pt>
                <c:pt idx="507">
                  <c:v>0.000521465187305241</c:v>
                </c:pt>
                <c:pt idx="508">
                  <c:v>0.000521465187559411</c:v>
                </c:pt>
                <c:pt idx="509">
                  <c:v>0.000521465187804673</c:v>
                </c:pt>
                <c:pt idx="510">
                  <c:v>0.000521465188041337</c:v>
                </c:pt>
                <c:pt idx="511">
                  <c:v>0.000521465188269705</c:v>
                </c:pt>
                <c:pt idx="512">
                  <c:v>0.000521465188490068</c:v>
                </c:pt>
                <c:pt idx="513">
                  <c:v>0.000521465188702706</c:v>
                </c:pt>
                <c:pt idx="514">
                  <c:v>0.000521465188907891</c:v>
                </c:pt>
                <c:pt idx="515">
                  <c:v>0.000521465189105884</c:v>
                </c:pt>
                <c:pt idx="516">
                  <c:v>0.000521465189296936</c:v>
                </c:pt>
                <c:pt idx="517">
                  <c:v>0.000521465189481291</c:v>
                </c:pt>
                <c:pt idx="518">
                  <c:v>0.000521465189659184</c:v>
                </c:pt>
                <c:pt idx="519">
                  <c:v>0.000521465189830841</c:v>
                </c:pt>
                <c:pt idx="520">
                  <c:v>0.000521465189996481</c:v>
                </c:pt>
                <c:pt idx="521">
                  <c:v>0.000521465190156315</c:v>
                </c:pt>
                <c:pt idx="522">
                  <c:v>0.000521465190310546</c:v>
                </c:pt>
                <c:pt idx="523">
                  <c:v>0.00052146519045937</c:v>
                </c:pt>
                <c:pt idx="524">
                  <c:v>0.000521465190602978</c:v>
                </c:pt>
                <c:pt idx="525">
                  <c:v>0.000521465190741552</c:v>
                </c:pt>
                <c:pt idx="526">
                  <c:v>0.000521465190875269</c:v>
                </c:pt>
                <c:pt idx="527">
                  <c:v>0.000521465191004298</c:v>
                </c:pt>
                <c:pt idx="528">
                  <c:v>0.000521465191128804</c:v>
                </c:pt>
                <c:pt idx="529">
                  <c:v>0.000521465191248946</c:v>
                </c:pt>
                <c:pt idx="530">
                  <c:v>0.000521465191364877</c:v>
                </c:pt>
                <c:pt idx="531">
                  <c:v>0.000521465191476743</c:v>
                </c:pt>
                <c:pt idx="532">
                  <c:v>0.000521465191584689</c:v>
                </c:pt>
                <c:pt idx="533">
                  <c:v>0.000521465191688851</c:v>
                </c:pt>
                <c:pt idx="534">
                  <c:v>0.000521465191789361</c:v>
                </c:pt>
                <c:pt idx="535">
                  <c:v>0.000521465191886348</c:v>
                </c:pt>
                <c:pt idx="536">
                  <c:v>0.000521465191979936</c:v>
                </c:pt>
                <c:pt idx="537">
                  <c:v>0.000521465192070243</c:v>
                </c:pt>
                <c:pt idx="538">
                  <c:v>0.000521465192157384</c:v>
                </c:pt>
                <c:pt idx="539">
                  <c:v>0.000521465192241471</c:v>
                </c:pt>
                <c:pt idx="540">
                  <c:v>0.00052146519232261</c:v>
                </c:pt>
                <c:pt idx="541">
                  <c:v>0.000521465192400905</c:v>
                </c:pt>
                <c:pt idx="542">
                  <c:v>0.000521465192476456</c:v>
                </c:pt>
                <c:pt idx="543">
                  <c:v>0.000521465192549358</c:v>
                </c:pt>
                <c:pt idx="544">
                  <c:v>0.000521465192619705</c:v>
                </c:pt>
                <c:pt idx="545">
                  <c:v>0.000521465192687586</c:v>
                </c:pt>
                <c:pt idx="546">
                  <c:v>0.000521465192753087</c:v>
                </c:pt>
                <c:pt idx="547">
                  <c:v>0.000521465192816292</c:v>
                </c:pt>
                <c:pt idx="548">
                  <c:v>0.000521465192877282</c:v>
                </c:pt>
                <c:pt idx="549">
                  <c:v>0.000521465192936134</c:v>
                </c:pt>
                <c:pt idx="550">
                  <c:v>0.000521465192992923</c:v>
                </c:pt>
                <c:pt idx="551">
                  <c:v>0.000521465193047722</c:v>
                </c:pt>
                <c:pt idx="552">
                  <c:v>0.000521465193100599</c:v>
                </c:pt>
                <c:pt idx="553">
                  <c:v>0.000521465193151623</c:v>
                </c:pt>
                <c:pt idx="554">
                  <c:v>0.000521465193200858</c:v>
                </c:pt>
                <c:pt idx="555">
                  <c:v>0.000521465193248368</c:v>
                </c:pt>
                <c:pt idx="556">
                  <c:v>0.000521465193294212</c:v>
                </c:pt>
                <c:pt idx="557">
                  <c:v>0.000521465193338449</c:v>
                </c:pt>
                <c:pt idx="558">
                  <c:v>0.000521465193381135</c:v>
                </c:pt>
                <c:pt idx="559">
                  <c:v>0.000521465193422326</c:v>
                </c:pt>
                <c:pt idx="560">
                  <c:v>0.000521465193462072</c:v>
                </c:pt>
                <c:pt idx="561">
                  <c:v>0.000521465193500425</c:v>
                </c:pt>
                <c:pt idx="562">
                  <c:v>0.000521465193537434</c:v>
                </c:pt>
                <c:pt idx="563">
                  <c:v>0.000521465193573145</c:v>
                </c:pt>
                <c:pt idx="564">
                  <c:v>0.000521465193607605</c:v>
                </c:pt>
                <c:pt idx="565">
                  <c:v>0.000521465193640856</c:v>
                </c:pt>
                <c:pt idx="566">
                  <c:v>0.000521465193672942</c:v>
                </c:pt>
                <c:pt idx="567">
                  <c:v>0.000521465193703904</c:v>
                </c:pt>
                <c:pt idx="568">
                  <c:v>0.00052146519373378</c:v>
                </c:pt>
                <c:pt idx="569">
                  <c:v>0.000521465193762609</c:v>
                </c:pt>
                <c:pt idx="570">
                  <c:v>0.000521465193790427</c:v>
                </c:pt>
                <c:pt idx="571">
                  <c:v>0.00052146519381727</c:v>
                </c:pt>
                <c:pt idx="572">
                  <c:v>0.000521465193843172</c:v>
                </c:pt>
                <c:pt idx="573">
                  <c:v>0.000521465193868166</c:v>
                </c:pt>
                <c:pt idx="574">
                  <c:v>0.000521465193892284</c:v>
                </c:pt>
                <c:pt idx="575">
                  <c:v>0.000521465193915557</c:v>
                </c:pt>
                <c:pt idx="576">
                  <c:v>0.000521465193938014</c:v>
                </c:pt>
                <c:pt idx="577">
                  <c:v>0.000521465193959684</c:v>
                </c:pt>
                <c:pt idx="578">
                  <c:v>0.000521465193980594</c:v>
                </c:pt>
                <c:pt idx="579">
                  <c:v>0.000521465194000771</c:v>
                </c:pt>
                <c:pt idx="580">
                  <c:v>0.000521465194020241</c:v>
                </c:pt>
                <c:pt idx="581">
                  <c:v>0.000521465194039028</c:v>
                </c:pt>
                <c:pt idx="582">
                  <c:v>0.000521465194057157</c:v>
                </c:pt>
                <c:pt idx="583">
                  <c:v>0.00052146519407465</c:v>
                </c:pt>
                <c:pt idx="584">
                  <c:v>0.000521465194091531</c:v>
                </c:pt>
                <c:pt idx="585">
                  <c:v>0.000521465194107819</c:v>
                </c:pt>
                <c:pt idx="586">
                  <c:v>0.000521465194123536</c:v>
                </c:pt>
                <c:pt idx="587">
                  <c:v>0.000521465194138703</c:v>
                </c:pt>
                <c:pt idx="588">
                  <c:v>0.000521465194153338</c:v>
                </c:pt>
                <c:pt idx="589">
                  <c:v>0.00052146519416746</c:v>
                </c:pt>
                <c:pt idx="590">
                  <c:v>0.000521465194181087</c:v>
                </c:pt>
                <c:pt idx="591">
                  <c:v>0.000521465194194236</c:v>
                </c:pt>
                <c:pt idx="592">
                  <c:v>0.000521465194206924</c:v>
                </c:pt>
                <c:pt idx="593">
                  <c:v>0.000521465194219168</c:v>
                </c:pt>
                <c:pt idx="594">
                  <c:v>0.000521465194230982</c:v>
                </c:pt>
                <c:pt idx="595">
                  <c:v>0.000521465194242382</c:v>
                </c:pt>
                <c:pt idx="596">
                  <c:v>0.000521465194253383</c:v>
                </c:pt>
                <c:pt idx="597">
                  <c:v>0.000521465194263998</c:v>
                </c:pt>
                <c:pt idx="598">
                  <c:v>0.00052146519427424</c:v>
                </c:pt>
                <c:pt idx="599">
                  <c:v>0.000521465194284124</c:v>
                </c:pt>
                <c:pt idx="600">
                  <c:v>0.000521465194293662</c:v>
                </c:pt>
                <c:pt idx="601">
                  <c:v>0.000521465194302865</c:v>
                </c:pt>
                <c:pt idx="602">
                  <c:v>0.000521465194311745</c:v>
                </c:pt>
                <c:pt idx="603">
                  <c:v>0.000521465194320314</c:v>
                </c:pt>
                <c:pt idx="604">
                  <c:v>0.000521465194328583</c:v>
                </c:pt>
                <c:pt idx="605">
                  <c:v>0.000521465194336562</c:v>
                </c:pt>
                <c:pt idx="606">
                  <c:v>0.000521465194344261</c:v>
                </c:pt>
                <c:pt idx="607">
                  <c:v>0.000521465194351691</c:v>
                </c:pt>
                <c:pt idx="608">
                  <c:v>0.00052146519435886</c:v>
                </c:pt>
                <c:pt idx="609">
                  <c:v>0.000521465194365777</c:v>
                </c:pt>
                <c:pt idx="610">
                  <c:v>0.000521465194372452</c:v>
                </c:pt>
                <c:pt idx="611">
                  <c:v>0.000521465194378894</c:v>
                </c:pt>
                <c:pt idx="612">
                  <c:v>0.000521465194385109</c:v>
                </c:pt>
                <c:pt idx="613">
                  <c:v>0.000521465194391106</c:v>
                </c:pt>
                <c:pt idx="614">
                  <c:v>0.000521465194396894</c:v>
                </c:pt>
                <c:pt idx="615">
                  <c:v>0.000521465194402478</c:v>
                </c:pt>
                <c:pt idx="616">
                  <c:v>0.000521465194407867</c:v>
                </c:pt>
                <c:pt idx="617">
                  <c:v>0.000521465194413067</c:v>
                </c:pt>
                <c:pt idx="618">
                  <c:v>0.000521465194418084</c:v>
                </c:pt>
                <c:pt idx="619">
                  <c:v>0.000521465194422926</c:v>
                </c:pt>
                <c:pt idx="620">
                  <c:v>0.000521465194427598</c:v>
                </c:pt>
                <c:pt idx="621">
                  <c:v>0.000521465194432106</c:v>
                </c:pt>
                <c:pt idx="622">
                  <c:v>0.000521465194436456</c:v>
                </c:pt>
                <c:pt idx="623">
                  <c:v>0.000521465194440654</c:v>
                </c:pt>
                <c:pt idx="624">
                  <c:v>0.000521465194444704</c:v>
                </c:pt>
                <c:pt idx="625">
                  <c:v>0.000521465194448613</c:v>
                </c:pt>
                <c:pt idx="626">
                  <c:v>0.000521465194452384</c:v>
                </c:pt>
                <c:pt idx="627">
                  <c:v>0.000521465194456023</c:v>
                </c:pt>
                <c:pt idx="628">
                  <c:v>0.000521465194459535</c:v>
                </c:pt>
                <c:pt idx="629">
                  <c:v>0.000521465194462924</c:v>
                </c:pt>
                <c:pt idx="630">
                  <c:v>0.000521465194466194</c:v>
                </c:pt>
                <c:pt idx="631">
                  <c:v>0.000521465194469349</c:v>
                </c:pt>
                <c:pt idx="632">
                  <c:v>0.000521465194472393</c:v>
                </c:pt>
                <c:pt idx="633">
                  <c:v>0.000521465194475331</c:v>
                </c:pt>
                <c:pt idx="634">
                  <c:v>0.000521465194478166</c:v>
                </c:pt>
                <c:pt idx="635">
                  <c:v>0.000521465194480902</c:v>
                </c:pt>
                <c:pt idx="636">
                  <c:v>0.000521465194483542</c:v>
                </c:pt>
                <c:pt idx="637">
                  <c:v>0.000521465194486089</c:v>
                </c:pt>
                <c:pt idx="638">
                  <c:v>0.000521465194488546</c:v>
                </c:pt>
                <c:pt idx="639">
                  <c:v>0.000521465194490918</c:v>
                </c:pt>
                <c:pt idx="640">
                  <c:v>0.000521465194493207</c:v>
                </c:pt>
                <c:pt idx="641">
                  <c:v>0.000521465194495415</c:v>
                </c:pt>
                <c:pt idx="642">
                  <c:v>0.000521465194497546</c:v>
                </c:pt>
                <c:pt idx="643">
                  <c:v>0.000521465194499602</c:v>
                </c:pt>
                <c:pt idx="644">
                  <c:v>0.000521465194501586</c:v>
                </c:pt>
                <c:pt idx="645">
                  <c:v>0.000521465194503501</c:v>
                </c:pt>
                <c:pt idx="646">
                  <c:v>0.000521465194505348</c:v>
                </c:pt>
                <c:pt idx="647">
                  <c:v>0.000521465194507131</c:v>
                </c:pt>
                <c:pt idx="648">
                  <c:v>0.000521465194508851</c:v>
                </c:pt>
                <c:pt idx="649">
                  <c:v>0.000521465194510511</c:v>
                </c:pt>
                <c:pt idx="650">
                  <c:v>0.000521465194512113</c:v>
                </c:pt>
                <c:pt idx="651">
                  <c:v>0.000521465194513659</c:v>
                </c:pt>
                <c:pt idx="652">
                  <c:v>0.00052146519451515</c:v>
                </c:pt>
                <c:pt idx="653">
                  <c:v>0.000521465194516589</c:v>
                </c:pt>
                <c:pt idx="654">
                  <c:v>0.000521465194517978</c:v>
                </c:pt>
                <c:pt idx="655">
                  <c:v>0.000521465194519318</c:v>
                </c:pt>
                <c:pt idx="656">
                  <c:v>0.000521465194520611</c:v>
                </c:pt>
                <c:pt idx="657">
                  <c:v>0.000521465194521859</c:v>
                </c:pt>
                <c:pt idx="658">
                  <c:v>0.000521465194523063</c:v>
                </c:pt>
                <c:pt idx="659">
                  <c:v>0.000521465194524224</c:v>
                </c:pt>
                <c:pt idx="660">
                  <c:v>0.000521465194525345</c:v>
                </c:pt>
                <c:pt idx="661">
                  <c:v>0.000521465194526427</c:v>
                </c:pt>
                <c:pt idx="662">
                  <c:v>0.000521465194527471</c:v>
                </c:pt>
                <c:pt idx="663">
                  <c:v>0.000521465194528478</c:v>
                </c:pt>
                <c:pt idx="664">
                  <c:v>0.00052146519452945</c:v>
                </c:pt>
                <c:pt idx="665">
                  <c:v>0.000521465194530388</c:v>
                </c:pt>
                <c:pt idx="666">
                  <c:v>0.000521465194531293</c:v>
                </c:pt>
                <c:pt idx="667">
                  <c:v>0.000521465194532166</c:v>
                </c:pt>
                <c:pt idx="668">
                  <c:v>0.000521465194533009</c:v>
                </c:pt>
                <c:pt idx="669">
                  <c:v>0.000521465194533822</c:v>
                </c:pt>
                <c:pt idx="670">
                  <c:v>0.000521465194534607</c:v>
                </c:pt>
                <c:pt idx="671">
                  <c:v>0.000521465194535364</c:v>
                </c:pt>
                <c:pt idx="672">
                  <c:v>0.000521465194536094</c:v>
                </c:pt>
                <c:pt idx="673">
                  <c:v>0.000521465194536799</c:v>
                </c:pt>
                <c:pt idx="674">
                  <c:v>0.00052146519453748</c:v>
                </c:pt>
                <c:pt idx="675">
                  <c:v>0.000521465194538136</c:v>
                </c:pt>
                <c:pt idx="676">
                  <c:v>0.000521465194538769</c:v>
                </c:pt>
                <c:pt idx="677">
                  <c:v>0.000521465194539381</c:v>
                </c:pt>
                <c:pt idx="678">
                  <c:v>0.00052146519453997</c:v>
                </c:pt>
                <c:pt idx="679">
                  <c:v>0.00052146519454054</c:v>
                </c:pt>
                <c:pt idx="680">
                  <c:v>0.000521465194541089</c:v>
                </c:pt>
                <c:pt idx="681">
                  <c:v>0.000521465194541619</c:v>
                </c:pt>
                <c:pt idx="682">
                  <c:v>0.00052146519454213</c:v>
                </c:pt>
                <c:pt idx="683">
                  <c:v>0.000521465194542623</c:v>
                </c:pt>
                <c:pt idx="684">
                  <c:v>0.000521465194543099</c:v>
                </c:pt>
                <c:pt idx="685">
                  <c:v>0.000521465194543559</c:v>
                </c:pt>
                <c:pt idx="686">
                  <c:v>0.000521465194544002</c:v>
                </c:pt>
                <c:pt idx="687">
                  <c:v>0.00052146519454443</c:v>
                </c:pt>
                <c:pt idx="688">
                  <c:v>0.000521465194544843</c:v>
                </c:pt>
                <c:pt idx="689">
                  <c:v>0.000521465194545241</c:v>
                </c:pt>
                <c:pt idx="690">
                  <c:v>0.000521465194545625</c:v>
                </c:pt>
                <c:pt idx="691">
                  <c:v>0.000521465194545996</c:v>
                </c:pt>
                <c:pt idx="692">
                  <c:v>0.000521465194546354</c:v>
                </c:pt>
                <c:pt idx="693">
                  <c:v>0.000521465194546699</c:v>
                </c:pt>
                <c:pt idx="694">
                  <c:v>0.000521465194547033</c:v>
                </c:pt>
                <c:pt idx="695">
                  <c:v>0.000521465194547354</c:v>
                </c:pt>
                <c:pt idx="696">
                  <c:v>0.000521465194547664</c:v>
                </c:pt>
                <c:pt idx="697">
                  <c:v>0.000521465194547964</c:v>
                </c:pt>
                <c:pt idx="698">
                  <c:v>0.000521465194548253</c:v>
                </c:pt>
                <c:pt idx="699">
                  <c:v>0.000521465194548532</c:v>
                </c:pt>
                <c:pt idx="700">
                  <c:v>0.000521465194548801</c:v>
                </c:pt>
                <c:pt idx="701">
                  <c:v>0.00052146519454906</c:v>
                </c:pt>
                <c:pt idx="702">
                  <c:v>0.000521465194549311</c:v>
                </c:pt>
                <c:pt idx="703">
                  <c:v>0.000521465194549552</c:v>
                </c:pt>
                <c:pt idx="704">
                  <c:v>0.000521465194549786</c:v>
                </c:pt>
                <c:pt idx="705">
                  <c:v>0.000521465194550011</c:v>
                </c:pt>
                <c:pt idx="706">
                  <c:v>0.000521465194550228</c:v>
                </c:pt>
                <c:pt idx="707">
                  <c:v>0.000521465194550437</c:v>
                </c:pt>
                <c:pt idx="708">
                  <c:v>0.00052146519455064</c:v>
                </c:pt>
                <c:pt idx="709">
                  <c:v>0.000521465194550835</c:v>
                </c:pt>
                <c:pt idx="710">
                  <c:v>0.000521465194551023</c:v>
                </c:pt>
                <c:pt idx="711">
                  <c:v>0.000521465194551205</c:v>
                </c:pt>
                <c:pt idx="712">
                  <c:v>0.00052146519455138</c:v>
                </c:pt>
                <c:pt idx="713">
                  <c:v>0.000521465194551549</c:v>
                </c:pt>
                <c:pt idx="714">
                  <c:v>0.000521465194551712</c:v>
                </c:pt>
                <c:pt idx="715">
                  <c:v>0.00052146519455187</c:v>
                </c:pt>
                <c:pt idx="716">
                  <c:v>0.000521465194552022</c:v>
                </c:pt>
                <c:pt idx="717">
                  <c:v>0.000521465194552168</c:v>
                </c:pt>
                <c:pt idx="718">
                  <c:v>0.00052146519455231</c:v>
                </c:pt>
                <c:pt idx="719">
                  <c:v>0.000521465194552447</c:v>
                </c:pt>
                <c:pt idx="720">
                  <c:v>0.000521465194552578</c:v>
                </c:pt>
                <c:pt idx="721">
                  <c:v>0.000521465194552706</c:v>
                </c:pt>
                <c:pt idx="722">
                  <c:v>0.000521465194552828</c:v>
                </c:pt>
                <c:pt idx="723">
                  <c:v>0.000521465194552947</c:v>
                </c:pt>
                <c:pt idx="724">
                  <c:v>0.000521465194553061</c:v>
                </c:pt>
                <c:pt idx="725">
                  <c:v>0.000521465194553171</c:v>
                </c:pt>
                <c:pt idx="726">
                  <c:v>0.000521465194553277</c:v>
                </c:pt>
                <c:pt idx="727">
                  <c:v>0.00052146519455338</c:v>
                </c:pt>
                <c:pt idx="728">
                  <c:v>0.000521465194553479</c:v>
                </c:pt>
                <c:pt idx="729">
                  <c:v>0.000521465194553575</c:v>
                </c:pt>
                <c:pt idx="730">
                  <c:v>0.000521465194553667</c:v>
                </c:pt>
                <c:pt idx="731">
                  <c:v>0.000521465194553756</c:v>
                </c:pt>
                <c:pt idx="732">
                  <c:v>0.000521465194553842</c:v>
                </c:pt>
                <c:pt idx="733">
                  <c:v>0.000521465194553925</c:v>
                </c:pt>
                <c:pt idx="734">
                  <c:v>0.000521465194554005</c:v>
                </c:pt>
                <c:pt idx="735">
                  <c:v>0.000521465194554082</c:v>
                </c:pt>
                <c:pt idx="736">
                  <c:v>0.000521465194554156</c:v>
                </c:pt>
                <c:pt idx="737">
                  <c:v>0.000521465194554228</c:v>
                </c:pt>
                <c:pt idx="738">
                  <c:v>0.000521465194554297</c:v>
                </c:pt>
                <c:pt idx="739">
                  <c:v>0.000521465194554364</c:v>
                </c:pt>
                <c:pt idx="740">
                  <c:v>0.000521465194554429</c:v>
                </c:pt>
                <c:pt idx="741">
                  <c:v>0.000521465194554491</c:v>
                </c:pt>
                <c:pt idx="742">
                  <c:v>0.000521465194554551</c:v>
                </c:pt>
                <c:pt idx="743">
                  <c:v>0.000521465194554609</c:v>
                </c:pt>
                <c:pt idx="744">
                  <c:v>0.000521465194554665</c:v>
                </c:pt>
                <c:pt idx="745">
                  <c:v>0.000521465194554719</c:v>
                </c:pt>
                <c:pt idx="746">
                  <c:v>0.000521465194554771</c:v>
                </c:pt>
                <c:pt idx="747">
                  <c:v>0.000521465194554822</c:v>
                </c:pt>
                <c:pt idx="748">
                  <c:v>0.00052146519455487</c:v>
                </c:pt>
                <c:pt idx="749">
                  <c:v>0.000521465194554917</c:v>
                </c:pt>
                <c:pt idx="750">
                  <c:v>0.000521465194554962</c:v>
                </c:pt>
                <c:pt idx="751">
                  <c:v>0.000521465194555006</c:v>
                </c:pt>
                <c:pt idx="752">
                  <c:v>0.000521465194555048</c:v>
                </c:pt>
                <c:pt idx="753">
                  <c:v>0.000521465194555088</c:v>
                </c:pt>
                <c:pt idx="754">
                  <c:v>0.000521465194555127</c:v>
                </c:pt>
                <c:pt idx="755">
                  <c:v>0.000521465194555165</c:v>
                </c:pt>
                <c:pt idx="756">
                  <c:v>0.000521465194555202</c:v>
                </c:pt>
                <c:pt idx="757">
                  <c:v>0.000521465194555237</c:v>
                </c:pt>
                <c:pt idx="758">
                  <c:v>0.000521465194555271</c:v>
                </c:pt>
                <c:pt idx="759">
                  <c:v>0.000521465194555304</c:v>
                </c:pt>
                <c:pt idx="760">
                  <c:v>0.000521465194555335</c:v>
                </c:pt>
                <c:pt idx="761">
                  <c:v>0.000521465194555366</c:v>
                </c:pt>
                <c:pt idx="762">
                  <c:v>0.000521465194555395</c:v>
                </c:pt>
                <c:pt idx="763">
                  <c:v>0.000521465194555424</c:v>
                </c:pt>
                <c:pt idx="764">
                  <c:v>0.000521465194555451</c:v>
                </c:pt>
                <c:pt idx="765">
                  <c:v>0.000521465194555478</c:v>
                </c:pt>
                <c:pt idx="766">
                  <c:v>0.000521465194555503</c:v>
                </c:pt>
                <c:pt idx="767">
                  <c:v>0.000521465194555528</c:v>
                </c:pt>
                <c:pt idx="768">
                  <c:v>0.000521465194555551</c:v>
                </c:pt>
                <c:pt idx="769">
                  <c:v>0.000521465194555574</c:v>
                </c:pt>
                <c:pt idx="770">
                  <c:v>0.000521465194555597</c:v>
                </c:pt>
                <c:pt idx="771">
                  <c:v>0.000521465194555618</c:v>
                </c:pt>
                <c:pt idx="772">
                  <c:v>0.000521465194555638</c:v>
                </c:pt>
                <c:pt idx="773">
                  <c:v>0.000521465194555658</c:v>
                </c:pt>
                <c:pt idx="774">
                  <c:v>0.000521465194555678</c:v>
                </c:pt>
                <c:pt idx="775">
                  <c:v>0.000521465194555696</c:v>
                </c:pt>
                <c:pt idx="776">
                  <c:v>0.000521465194555714</c:v>
                </c:pt>
                <c:pt idx="777">
                  <c:v>0.000521465194555731</c:v>
                </c:pt>
                <c:pt idx="778">
                  <c:v>0.000521465194555748</c:v>
                </c:pt>
                <c:pt idx="779">
                  <c:v>0.000521465194555764</c:v>
                </c:pt>
                <c:pt idx="780">
                  <c:v>0.000521465194555779</c:v>
                </c:pt>
                <c:pt idx="781">
                  <c:v>0.000521465194555794</c:v>
                </c:pt>
                <c:pt idx="782">
                  <c:v>0.000521465194555809</c:v>
                </c:pt>
                <c:pt idx="783">
                  <c:v>0.000521465194555823</c:v>
                </c:pt>
                <c:pt idx="784">
                  <c:v>0.000521465194555836</c:v>
                </c:pt>
                <c:pt idx="785">
                  <c:v>0.000521465194555849</c:v>
                </c:pt>
                <c:pt idx="786">
                  <c:v>0.000521465194555861</c:v>
                </c:pt>
                <c:pt idx="787">
                  <c:v>0.000521465194555874</c:v>
                </c:pt>
                <c:pt idx="788">
                  <c:v>0.000521465194555885</c:v>
                </c:pt>
                <c:pt idx="789">
                  <c:v>0.000521465194555896</c:v>
                </c:pt>
                <c:pt idx="790">
                  <c:v>0.000521465194555907</c:v>
                </c:pt>
                <c:pt idx="791">
                  <c:v>0.000521465194555918</c:v>
                </c:pt>
                <c:pt idx="792">
                  <c:v>0.000521465194555928</c:v>
                </c:pt>
                <c:pt idx="793">
                  <c:v>0.000521465194555938</c:v>
                </c:pt>
                <c:pt idx="794">
                  <c:v>0.000521465194555947</c:v>
                </c:pt>
                <c:pt idx="795">
                  <c:v>0.000521465194555956</c:v>
                </c:pt>
                <c:pt idx="796">
                  <c:v>0.000521465194555965</c:v>
                </c:pt>
                <c:pt idx="797">
                  <c:v>0.000521465194555973</c:v>
                </c:pt>
                <c:pt idx="798">
                  <c:v>0.000521465194555981</c:v>
                </c:pt>
                <c:pt idx="799">
                  <c:v>0.000521465194555989</c:v>
                </c:pt>
                <c:pt idx="800">
                  <c:v>0.000521465194555997</c:v>
                </c:pt>
                <c:pt idx="801">
                  <c:v>0.000521465194556004</c:v>
                </c:pt>
                <c:pt idx="802">
                  <c:v>0.000521465194556011</c:v>
                </c:pt>
                <c:pt idx="803">
                  <c:v>0.000521465194556018</c:v>
                </c:pt>
                <c:pt idx="804">
                  <c:v>0.000521465194556025</c:v>
                </c:pt>
                <c:pt idx="805">
                  <c:v>0.000521465194556031</c:v>
                </c:pt>
                <c:pt idx="806">
                  <c:v>0.000521465194556037</c:v>
                </c:pt>
                <c:pt idx="807">
                  <c:v>0.000521465194556043</c:v>
                </c:pt>
                <c:pt idx="808">
                  <c:v>0.000521465194556049</c:v>
                </c:pt>
                <c:pt idx="809">
                  <c:v>0.000521465194556054</c:v>
                </c:pt>
                <c:pt idx="810">
                  <c:v>0.00052146519455606</c:v>
                </c:pt>
                <c:pt idx="811">
                  <c:v>0.000521465194556065</c:v>
                </c:pt>
                <c:pt idx="812">
                  <c:v>0.00052146519455607</c:v>
                </c:pt>
                <c:pt idx="813">
                  <c:v>0.000521465194556074</c:v>
                </c:pt>
                <c:pt idx="814">
                  <c:v>0.000521465194556079</c:v>
                </c:pt>
                <c:pt idx="815">
                  <c:v>0.000521465194556083</c:v>
                </c:pt>
                <c:pt idx="816">
                  <c:v>0.000521465194556088</c:v>
                </c:pt>
                <c:pt idx="817">
                  <c:v>0.000521465194556092</c:v>
                </c:pt>
                <c:pt idx="818">
                  <c:v>0.000521465194556096</c:v>
                </c:pt>
                <c:pt idx="819">
                  <c:v>0.0005214651945561</c:v>
                </c:pt>
                <c:pt idx="820">
                  <c:v>0.000521465194556103</c:v>
                </c:pt>
                <c:pt idx="821">
                  <c:v>0.000521465194556107</c:v>
                </c:pt>
                <c:pt idx="822">
                  <c:v>0.00052146519455611</c:v>
                </c:pt>
                <c:pt idx="823">
                  <c:v>0.000521465194556114</c:v>
                </c:pt>
                <c:pt idx="824">
                  <c:v>0.000521465194556117</c:v>
                </c:pt>
                <c:pt idx="825">
                  <c:v>0.00052146519455612</c:v>
                </c:pt>
                <c:pt idx="826">
                  <c:v>0.000521465194556123</c:v>
                </c:pt>
                <c:pt idx="827">
                  <c:v>0.000521465194556126</c:v>
                </c:pt>
                <c:pt idx="828">
                  <c:v>0.000521465194556129</c:v>
                </c:pt>
                <c:pt idx="829">
                  <c:v>0.000521465194556131</c:v>
                </c:pt>
                <c:pt idx="830">
                  <c:v>0.000521465194556134</c:v>
                </c:pt>
                <c:pt idx="831">
                  <c:v>0.000521465194556137</c:v>
                </c:pt>
                <c:pt idx="832">
                  <c:v>0.000521465194556139</c:v>
                </c:pt>
                <c:pt idx="833">
                  <c:v>0.000521465194556141</c:v>
                </c:pt>
                <c:pt idx="834">
                  <c:v>0.000521465194556144</c:v>
                </c:pt>
                <c:pt idx="835">
                  <c:v>0.000521465194556146</c:v>
                </c:pt>
                <c:pt idx="836">
                  <c:v>0.000521465194556148</c:v>
                </c:pt>
                <c:pt idx="837">
                  <c:v>0.00052146519455615</c:v>
                </c:pt>
                <c:pt idx="838">
                  <c:v>0.000521465194556152</c:v>
                </c:pt>
                <c:pt idx="839">
                  <c:v>0.000521465194556154</c:v>
                </c:pt>
                <c:pt idx="840">
                  <c:v>0.000521465194556156</c:v>
                </c:pt>
                <c:pt idx="841">
                  <c:v>0.000521465194556157</c:v>
                </c:pt>
                <c:pt idx="842">
                  <c:v>0.000521465194556159</c:v>
                </c:pt>
                <c:pt idx="843">
                  <c:v>0.000521465194556161</c:v>
                </c:pt>
                <c:pt idx="844">
                  <c:v>0.000521465194556162</c:v>
                </c:pt>
                <c:pt idx="845">
                  <c:v>0.000521465194556164</c:v>
                </c:pt>
                <c:pt idx="846">
                  <c:v>0.000521465194556165</c:v>
                </c:pt>
                <c:pt idx="847">
                  <c:v>0.000521465194556167</c:v>
                </c:pt>
                <c:pt idx="848">
                  <c:v>0.000521465194556168</c:v>
                </c:pt>
                <c:pt idx="849">
                  <c:v>0.000521465194556169</c:v>
                </c:pt>
                <c:pt idx="850">
                  <c:v>0.000521465194556171</c:v>
                </c:pt>
                <c:pt idx="851">
                  <c:v>0.000521465194556172</c:v>
                </c:pt>
                <c:pt idx="852">
                  <c:v>0.000521465194556173</c:v>
                </c:pt>
                <c:pt idx="853">
                  <c:v>0.000521465194556174</c:v>
                </c:pt>
                <c:pt idx="854">
                  <c:v>0.000521465194556175</c:v>
                </c:pt>
                <c:pt idx="855">
                  <c:v>0.000521465194556176</c:v>
                </c:pt>
                <c:pt idx="856">
                  <c:v>0.000521465194556177</c:v>
                </c:pt>
                <c:pt idx="857">
                  <c:v>0.000521465194556178</c:v>
                </c:pt>
                <c:pt idx="858">
                  <c:v>0.000521465194556179</c:v>
                </c:pt>
                <c:pt idx="859">
                  <c:v>0.00052146519455618</c:v>
                </c:pt>
                <c:pt idx="860">
                  <c:v>0.000521465194556181</c:v>
                </c:pt>
                <c:pt idx="861">
                  <c:v>0.000521465194556182</c:v>
                </c:pt>
                <c:pt idx="862">
                  <c:v>0.000521465194556183</c:v>
                </c:pt>
                <c:pt idx="863">
                  <c:v>0.000521465194556184</c:v>
                </c:pt>
                <c:pt idx="864">
                  <c:v>0.000521465194556184</c:v>
                </c:pt>
                <c:pt idx="865">
                  <c:v>0.000521465194556185</c:v>
                </c:pt>
                <c:pt idx="866">
                  <c:v>0.000521465194556186</c:v>
                </c:pt>
                <c:pt idx="867">
                  <c:v>0.000521465194556187</c:v>
                </c:pt>
                <c:pt idx="868">
                  <c:v>0.000521465194556187</c:v>
                </c:pt>
                <c:pt idx="869">
                  <c:v>0.000521465194556188</c:v>
                </c:pt>
                <c:pt idx="870">
                  <c:v>0.000521465194556189</c:v>
                </c:pt>
                <c:pt idx="871">
                  <c:v>0.000521465194556189</c:v>
                </c:pt>
                <c:pt idx="872">
                  <c:v>0.00052146519455619</c:v>
                </c:pt>
                <c:pt idx="873">
                  <c:v>0.00052146519455619</c:v>
                </c:pt>
                <c:pt idx="874">
                  <c:v>0.000521465194556191</c:v>
                </c:pt>
                <c:pt idx="875">
                  <c:v>0.000521465194556191</c:v>
                </c:pt>
                <c:pt idx="876">
                  <c:v>0.000521465194556192</c:v>
                </c:pt>
                <c:pt idx="877">
                  <c:v>0.000521465194556192</c:v>
                </c:pt>
                <c:pt idx="878">
                  <c:v>0.000521465194556193</c:v>
                </c:pt>
                <c:pt idx="879">
                  <c:v>0.000521465194556193</c:v>
                </c:pt>
                <c:pt idx="880">
                  <c:v>0.000521465194556194</c:v>
                </c:pt>
                <c:pt idx="881">
                  <c:v>0.000521465194556194</c:v>
                </c:pt>
                <c:pt idx="882">
                  <c:v>0.000521465194556195</c:v>
                </c:pt>
                <c:pt idx="883">
                  <c:v>0.000521465194556195</c:v>
                </c:pt>
                <c:pt idx="884">
                  <c:v>0.000521465194556195</c:v>
                </c:pt>
                <c:pt idx="885">
                  <c:v>0.000521465194556196</c:v>
                </c:pt>
                <c:pt idx="886">
                  <c:v>0.000521465194556196</c:v>
                </c:pt>
                <c:pt idx="887">
                  <c:v>0.000521465194556196</c:v>
                </c:pt>
                <c:pt idx="888">
                  <c:v>0.000521465194556197</c:v>
                </c:pt>
                <c:pt idx="889">
                  <c:v>0.000521465194556197</c:v>
                </c:pt>
                <c:pt idx="890">
                  <c:v>0.000521465194556197</c:v>
                </c:pt>
                <c:pt idx="891">
                  <c:v>0.000521465194556198</c:v>
                </c:pt>
                <c:pt idx="892">
                  <c:v>0.000521465194556198</c:v>
                </c:pt>
                <c:pt idx="893">
                  <c:v>0.000521465194556198</c:v>
                </c:pt>
                <c:pt idx="894">
                  <c:v>0.000521465194556198</c:v>
                </c:pt>
                <c:pt idx="895">
                  <c:v>0.000521465194556199</c:v>
                </c:pt>
                <c:pt idx="896">
                  <c:v>0.000521465194556199</c:v>
                </c:pt>
                <c:pt idx="897">
                  <c:v>0.000521465194556199</c:v>
                </c:pt>
                <c:pt idx="898">
                  <c:v>0.000521465194556199</c:v>
                </c:pt>
                <c:pt idx="899">
                  <c:v>0.0005214651945562</c:v>
                </c:pt>
                <c:pt idx="900">
                  <c:v>0.0005214651945562</c:v>
                </c:pt>
                <c:pt idx="901">
                  <c:v>0.0005214651945562</c:v>
                </c:pt>
                <c:pt idx="902">
                  <c:v>0.0005214651945562</c:v>
                </c:pt>
                <c:pt idx="903">
                  <c:v>0.0005214651945562</c:v>
                </c:pt>
                <c:pt idx="904">
                  <c:v>0.000521465194556201</c:v>
                </c:pt>
                <c:pt idx="905">
                  <c:v>0.000521465194556201</c:v>
                </c:pt>
                <c:pt idx="906">
                  <c:v>0.000521465194556201</c:v>
                </c:pt>
                <c:pt idx="907">
                  <c:v>0.000521465194556201</c:v>
                </c:pt>
                <c:pt idx="908">
                  <c:v>0.000521465194556201</c:v>
                </c:pt>
                <c:pt idx="909">
                  <c:v>0.000521465194556201</c:v>
                </c:pt>
                <c:pt idx="910">
                  <c:v>0.000521465194556202</c:v>
                </c:pt>
                <c:pt idx="911">
                  <c:v>0.000521465194556202</c:v>
                </c:pt>
                <c:pt idx="912">
                  <c:v>0.000521465194556202</c:v>
                </c:pt>
                <c:pt idx="913">
                  <c:v>0.000521465194556202</c:v>
                </c:pt>
                <c:pt idx="914">
                  <c:v>0.000521465194556202</c:v>
                </c:pt>
                <c:pt idx="915">
                  <c:v>0.000521465194556202</c:v>
                </c:pt>
                <c:pt idx="916">
                  <c:v>0.000521465194556202</c:v>
                </c:pt>
                <c:pt idx="917">
                  <c:v>0.000521465194556203</c:v>
                </c:pt>
                <c:pt idx="918">
                  <c:v>0.000521465194556203</c:v>
                </c:pt>
                <c:pt idx="919">
                  <c:v>0.000521465194556203</c:v>
                </c:pt>
                <c:pt idx="920">
                  <c:v>0.000521465194556203</c:v>
                </c:pt>
                <c:pt idx="921">
                  <c:v>0.000521465194556203</c:v>
                </c:pt>
                <c:pt idx="922">
                  <c:v>0.000521465194556203</c:v>
                </c:pt>
                <c:pt idx="923">
                  <c:v>0.000521465194556203</c:v>
                </c:pt>
                <c:pt idx="924">
                  <c:v>0.000521465194556203</c:v>
                </c:pt>
                <c:pt idx="925">
                  <c:v>0.000521465194556203</c:v>
                </c:pt>
                <c:pt idx="926">
                  <c:v>0.000521465194556203</c:v>
                </c:pt>
                <c:pt idx="927">
                  <c:v>0.000521465194556203</c:v>
                </c:pt>
                <c:pt idx="928">
                  <c:v>0.000521465194556204</c:v>
                </c:pt>
                <c:pt idx="929">
                  <c:v>0.000521465194556204</c:v>
                </c:pt>
                <c:pt idx="930">
                  <c:v>0.000521465194556204</c:v>
                </c:pt>
                <c:pt idx="931">
                  <c:v>0.000521465194556204</c:v>
                </c:pt>
                <c:pt idx="932">
                  <c:v>0.000521465194556204</c:v>
                </c:pt>
                <c:pt idx="933">
                  <c:v>0.000521465194556204</c:v>
                </c:pt>
                <c:pt idx="934">
                  <c:v>0.000521465194556204</c:v>
                </c:pt>
                <c:pt idx="935">
                  <c:v>0.000521465194556204</c:v>
                </c:pt>
                <c:pt idx="936">
                  <c:v>0.000521465194556204</c:v>
                </c:pt>
                <c:pt idx="937">
                  <c:v>0.000521465194556204</c:v>
                </c:pt>
                <c:pt idx="938">
                  <c:v>0.000521465194556204</c:v>
                </c:pt>
                <c:pt idx="939">
                  <c:v>0.000521465194556204</c:v>
                </c:pt>
                <c:pt idx="940">
                  <c:v>0.000521465194556204</c:v>
                </c:pt>
                <c:pt idx="941">
                  <c:v>0.000521465194556204</c:v>
                </c:pt>
                <c:pt idx="942">
                  <c:v>0.000521465194556204</c:v>
                </c:pt>
                <c:pt idx="943">
                  <c:v>0.000521465194556204</c:v>
                </c:pt>
                <c:pt idx="944">
                  <c:v>0.000521465194556204</c:v>
                </c:pt>
                <c:pt idx="945">
                  <c:v>0.000521465194556204</c:v>
                </c:pt>
                <c:pt idx="946">
                  <c:v>0.000521465194556204</c:v>
                </c:pt>
                <c:pt idx="947">
                  <c:v>0.000521465194556205</c:v>
                </c:pt>
                <c:pt idx="948">
                  <c:v>0.000521465194556205</c:v>
                </c:pt>
                <c:pt idx="949">
                  <c:v>0.000521465194556205</c:v>
                </c:pt>
                <c:pt idx="950">
                  <c:v>0.000521465194556205</c:v>
                </c:pt>
                <c:pt idx="951">
                  <c:v>0.000521465194556205</c:v>
                </c:pt>
                <c:pt idx="952">
                  <c:v>0.000521465194556205</c:v>
                </c:pt>
                <c:pt idx="953">
                  <c:v>0.000521465194556205</c:v>
                </c:pt>
                <c:pt idx="954">
                  <c:v>0.000521465194556205</c:v>
                </c:pt>
                <c:pt idx="955">
                  <c:v>0.000521465194556205</c:v>
                </c:pt>
                <c:pt idx="956">
                  <c:v>0.000521465194556205</c:v>
                </c:pt>
                <c:pt idx="957">
                  <c:v>0.000521465194556205</c:v>
                </c:pt>
                <c:pt idx="958">
                  <c:v>0.000521465194556205</c:v>
                </c:pt>
                <c:pt idx="959">
                  <c:v>0.000521465194556205</c:v>
                </c:pt>
                <c:pt idx="960">
                  <c:v>0.000521465194556205</c:v>
                </c:pt>
                <c:pt idx="961">
                  <c:v>0.000521465194556205</c:v>
                </c:pt>
                <c:pt idx="962">
                  <c:v>0.000521465194556205</c:v>
                </c:pt>
                <c:pt idx="963">
                  <c:v>0.000521465194556205</c:v>
                </c:pt>
                <c:pt idx="964">
                  <c:v>0.000521465194556205</c:v>
                </c:pt>
                <c:pt idx="965">
                  <c:v>0.000521465194556205</c:v>
                </c:pt>
                <c:pt idx="966">
                  <c:v>0.000521465194556205</c:v>
                </c:pt>
                <c:pt idx="967">
                  <c:v>0.000521465194556205</c:v>
                </c:pt>
                <c:pt idx="968">
                  <c:v>0.000521465194556205</c:v>
                </c:pt>
                <c:pt idx="969">
                  <c:v>0.000521465194556205</c:v>
                </c:pt>
                <c:pt idx="970">
                  <c:v>0.000521465194556205</c:v>
                </c:pt>
                <c:pt idx="971">
                  <c:v>0.000521465194556205</c:v>
                </c:pt>
                <c:pt idx="972">
                  <c:v>0.000521465194556205</c:v>
                </c:pt>
                <c:pt idx="973">
                  <c:v>0.000521465194556205</c:v>
                </c:pt>
                <c:pt idx="974">
                  <c:v>0.000521465194556205</c:v>
                </c:pt>
                <c:pt idx="975">
                  <c:v>0.000521465194556205</c:v>
                </c:pt>
                <c:pt idx="976">
                  <c:v>0.000521465194556205</c:v>
                </c:pt>
                <c:pt idx="977">
                  <c:v>0.000521465194556205</c:v>
                </c:pt>
                <c:pt idx="978">
                  <c:v>0.000521465194556205</c:v>
                </c:pt>
                <c:pt idx="979">
                  <c:v>0.000521465194556205</c:v>
                </c:pt>
                <c:pt idx="980">
                  <c:v>0.000521465194556205</c:v>
                </c:pt>
                <c:pt idx="981">
                  <c:v>0.000521465194556205</c:v>
                </c:pt>
                <c:pt idx="982">
                  <c:v>0.000521465194556205</c:v>
                </c:pt>
                <c:pt idx="983">
                  <c:v>0.000521465194556205</c:v>
                </c:pt>
                <c:pt idx="984">
                  <c:v>0.000521465194556205</c:v>
                </c:pt>
                <c:pt idx="985">
                  <c:v>0.000521465194556205</c:v>
                </c:pt>
                <c:pt idx="986">
                  <c:v>0.000521465194556205</c:v>
                </c:pt>
                <c:pt idx="987">
                  <c:v>0.000521465194556205</c:v>
                </c:pt>
                <c:pt idx="988">
                  <c:v>0.000521465194556205</c:v>
                </c:pt>
                <c:pt idx="989">
                  <c:v>0.000521465194556205</c:v>
                </c:pt>
                <c:pt idx="990">
                  <c:v>0.000521465194556205</c:v>
                </c:pt>
                <c:pt idx="991">
                  <c:v>0.000521465194556205</c:v>
                </c:pt>
                <c:pt idx="992">
                  <c:v>0.000521465194556205</c:v>
                </c:pt>
                <c:pt idx="993">
                  <c:v>0.000521465194556205</c:v>
                </c:pt>
                <c:pt idx="994">
                  <c:v>0.000521465194556205</c:v>
                </c:pt>
                <c:pt idx="995">
                  <c:v>0.000521465194556205</c:v>
                </c:pt>
                <c:pt idx="996">
                  <c:v>0.000521465194556205</c:v>
                </c:pt>
                <c:pt idx="997">
                  <c:v>0.000521465194556205</c:v>
                </c:pt>
                <c:pt idx="998">
                  <c:v>0.000521465194556205</c:v>
                </c:pt>
                <c:pt idx="999">
                  <c:v>0.000521465194556205</c:v>
                </c:pt>
                <c:pt idx="1000">
                  <c:v>0.000521465194556205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Sheet1!$E$9:$E$9</c:f>
              <c:strCache>
                <c:ptCount val="1"/>
                <c:pt idx="0">
                  <c:v>5.00E-07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Sheet1!$C$12:$C$1012</c:f>
              <c:numCache>
                <c:formatCode>General</c:formatCode>
                <c:ptCount val="10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</c:v>
                </c:pt>
                <c:pt idx="323">
                  <c:v>32.3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</c:v>
                </c:pt>
                <c:pt idx="328">
                  <c:v>32.8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</c:v>
                </c:pt>
                <c:pt idx="333">
                  <c:v>33.3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</c:v>
                </c:pt>
                <c:pt idx="338">
                  <c:v>33.8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</c:v>
                </c:pt>
                <c:pt idx="343">
                  <c:v>34.3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</c:v>
                </c:pt>
                <c:pt idx="348">
                  <c:v>34.8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</c:v>
                </c:pt>
                <c:pt idx="353">
                  <c:v>35.3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</c:v>
                </c:pt>
                <c:pt idx="358">
                  <c:v>35.8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</c:v>
                </c:pt>
                <c:pt idx="363">
                  <c:v>36.3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</c:v>
                </c:pt>
                <c:pt idx="368">
                  <c:v>36.8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</c:v>
                </c:pt>
                <c:pt idx="373">
                  <c:v>37.3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</c:v>
                </c:pt>
                <c:pt idx="378">
                  <c:v>37.8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</c:v>
                </c:pt>
                <c:pt idx="383">
                  <c:v>38.3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</c:v>
                </c:pt>
                <c:pt idx="388">
                  <c:v>38.8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</c:v>
                </c:pt>
                <c:pt idx="393">
                  <c:v>39.3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</c:v>
                </c:pt>
                <c:pt idx="398">
                  <c:v>39.8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</c:v>
                </c:pt>
                <c:pt idx="403">
                  <c:v>40.3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</c:v>
                </c:pt>
                <c:pt idx="408">
                  <c:v>40.8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64.1</c:v>
                </c:pt>
                <c:pt idx="642">
                  <c:v>64.2</c:v>
                </c:pt>
                <c:pt idx="643">
                  <c:v>64.3</c:v>
                </c:pt>
                <c:pt idx="644">
                  <c:v>64.4</c:v>
                </c:pt>
                <c:pt idx="645">
                  <c:v>64.5</c:v>
                </c:pt>
                <c:pt idx="646">
                  <c:v>64.6</c:v>
                </c:pt>
                <c:pt idx="647">
                  <c:v>64.7</c:v>
                </c:pt>
                <c:pt idx="648">
                  <c:v>64.8</c:v>
                </c:pt>
                <c:pt idx="649">
                  <c:v>64.9</c:v>
                </c:pt>
                <c:pt idx="650">
                  <c:v>65</c:v>
                </c:pt>
                <c:pt idx="651">
                  <c:v>65.1</c:v>
                </c:pt>
                <c:pt idx="652">
                  <c:v>65.2</c:v>
                </c:pt>
                <c:pt idx="653">
                  <c:v>65.3</c:v>
                </c:pt>
                <c:pt idx="654">
                  <c:v>65.4</c:v>
                </c:pt>
                <c:pt idx="655">
                  <c:v>65.5</c:v>
                </c:pt>
                <c:pt idx="656">
                  <c:v>65.6</c:v>
                </c:pt>
                <c:pt idx="657">
                  <c:v>65.7</c:v>
                </c:pt>
                <c:pt idx="658">
                  <c:v>65.8</c:v>
                </c:pt>
                <c:pt idx="659">
                  <c:v>65.9</c:v>
                </c:pt>
                <c:pt idx="660">
                  <c:v>66</c:v>
                </c:pt>
                <c:pt idx="661">
                  <c:v>66.1</c:v>
                </c:pt>
                <c:pt idx="662">
                  <c:v>66.2</c:v>
                </c:pt>
                <c:pt idx="663">
                  <c:v>66.3</c:v>
                </c:pt>
                <c:pt idx="664">
                  <c:v>66.4</c:v>
                </c:pt>
                <c:pt idx="665">
                  <c:v>66.5</c:v>
                </c:pt>
                <c:pt idx="666">
                  <c:v>66.6</c:v>
                </c:pt>
                <c:pt idx="667">
                  <c:v>66.7</c:v>
                </c:pt>
                <c:pt idx="668">
                  <c:v>66.8</c:v>
                </c:pt>
                <c:pt idx="669">
                  <c:v>66.9</c:v>
                </c:pt>
                <c:pt idx="670">
                  <c:v>67</c:v>
                </c:pt>
                <c:pt idx="671">
                  <c:v>67.1</c:v>
                </c:pt>
                <c:pt idx="672">
                  <c:v>67.2</c:v>
                </c:pt>
                <c:pt idx="673">
                  <c:v>67.3</c:v>
                </c:pt>
                <c:pt idx="674">
                  <c:v>67.4</c:v>
                </c:pt>
                <c:pt idx="675">
                  <c:v>67.5</c:v>
                </c:pt>
                <c:pt idx="676">
                  <c:v>67.6</c:v>
                </c:pt>
                <c:pt idx="677">
                  <c:v>67.7</c:v>
                </c:pt>
                <c:pt idx="678">
                  <c:v>67.8</c:v>
                </c:pt>
                <c:pt idx="679">
                  <c:v>67.9</c:v>
                </c:pt>
                <c:pt idx="680">
                  <c:v>68</c:v>
                </c:pt>
                <c:pt idx="681">
                  <c:v>68.1</c:v>
                </c:pt>
                <c:pt idx="682">
                  <c:v>68.2</c:v>
                </c:pt>
                <c:pt idx="683">
                  <c:v>68.3</c:v>
                </c:pt>
                <c:pt idx="684">
                  <c:v>68.4</c:v>
                </c:pt>
                <c:pt idx="685">
                  <c:v>68.5</c:v>
                </c:pt>
                <c:pt idx="686">
                  <c:v>68.6</c:v>
                </c:pt>
                <c:pt idx="687">
                  <c:v>68.7</c:v>
                </c:pt>
                <c:pt idx="688">
                  <c:v>68.8</c:v>
                </c:pt>
                <c:pt idx="689">
                  <c:v>68.9</c:v>
                </c:pt>
                <c:pt idx="690">
                  <c:v>69</c:v>
                </c:pt>
                <c:pt idx="691">
                  <c:v>69.1</c:v>
                </c:pt>
                <c:pt idx="692">
                  <c:v>69.2</c:v>
                </c:pt>
                <c:pt idx="693">
                  <c:v>69.3</c:v>
                </c:pt>
                <c:pt idx="694">
                  <c:v>69.4</c:v>
                </c:pt>
                <c:pt idx="695">
                  <c:v>69.5</c:v>
                </c:pt>
                <c:pt idx="696">
                  <c:v>69.6</c:v>
                </c:pt>
                <c:pt idx="697">
                  <c:v>69.7</c:v>
                </c:pt>
                <c:pt idx="698">
                  <c:v>69.8</c:v>
                </c:pt>
                <c:pt idx="699">
                  <c:v>69.9</c:v>
                </c:pt>
                <c:pt idx="700">
                  <c:v>70</c:v>
                </c:pt>
                <c:pt idx="701">
                  <c:v>70.1</c:v>
                </c:pt>
                <c:pt idx="702">
                  <c:v>70.2</c:v>
                </c:pt>
                <c:pt idx="703">
                  <c:v>70.3</c:v>
                </c:pt>
                <c:pt idx="704">
                  <c:v>70.4</c:v>
                </c:pt>
                <c:pt idx="705">
                  <c:v>70.5</c:v>
                </c:pt>
                <c:pt idx="706">
                  <c:v>70.6</c:v>
                </c:pt>
                <c:pt idx="707">
                  <c:v>70.7</c:v>
                </c:pt>
                <c:pt idx="708">
                  <c:v>70.8</c:v>
                </c:pt>
                <c:pt idx="709">
                  <c:v>70.9</c:v>
                </c:pt>
                <c:pt idx="710">
                  <c:v>71</c:v>
                </c:pt>
                <c:pt idx="711">
                  <c:v>71.1</c:v>
                </c:pt>
                <c:pt idx="712">
                  <c:v>71.2</c:v>
                </c:pt>
                <c:pt idx="713">
                  <c:v>71.3</c:v>
                </c:pt>
                <c:pt idx="714">
                  <c:v>71.4</c:v>
                </c:pt>
                <c:pt idx="715">
                  <c:v>71.5</c:v>
                </c:pt>
                <c:pt idx="716">
                  <c:v>71.6</c:v>
                </c:pt>
                <c:pt idx="717">
                  <c:v>71.7</c:v>
                </c:pt>
                <c:pt idx="718">
                  <c:v>71.8</c:v>
                </c:pt>
                <c:pt idx="719">
                  <c:v>71.9</c:v>
                </c:pt>
                <c:pt idx="720">
                  <c:v>72</c:v>
                </c:pt>
                <c:pt idx="721">
                  <c:v>72.1</c:v>
                </c:pt>
                <c:pt idx="722">
                  <c:v>72.2</c:v>
                </c:pt>
                <c:pt idx="723">
                  <c:v>72.3</c:v>
                </c:pt>
                <c:pt idx="724">
                  <c:v>72.4</c:v>
                </c:pt>
                <c:pt idx="725">
                  <c:v>72.5</c:v>
                </c:pt>
                <c:pt idx="726">
                  <c:v>72.6</c:v>
                </c:pt>
                <c:pt idx="727">
                  <c:v>72.7</c:v>
                </c:pt>
                <c:pt idx="728">
                  <c:v>72.8</c:v>
                </c:pt>
                <c:pt idx="729">
                  <c:v>72.9</c:v>
                </c:pt>
                <c:pt idx="730">
                  <c:v>73</c:v>
                </c:pt>
                <c:pt idx="731">
                  <c:v>73.1</c:v>
                </c:pt>
                <c:pt idx="732">
                  <c:v>73.2</c:v>
                </c:pt>
                <c:pt idx="733">
                  <c:v>73.3</c:v>
                </c:pt>
                <c:pt idx="734">
                  <c:v>73.4</c:v>
                </c:pt>
                <c:pt idx="735">
                  <c:v>73.5</c:v>
                </c:pt>
                <c:pt idx="736">
                  <c:v>73.6</c:v>
                </c:pt>
                <c:pt idx="737">
                  <c:v>73.7</c:v>
                </c:pt>
                <c:pt idx="738">
                  <c:v>73.8</c:v>
                </c:pt>
                <c:pt idx="739">
                  <c:v>73.9</c:v>
                </c:pt>
                <c:pt idx="740">
                  <c:v>74</c:v>
                </c:pt>
                <c:pt idx="741">
                  <c:v>74.1</c:v>
                </c:pt>
                <c:pt idx="742">
                  <c:v>74.2</c:v>
                </c:pt>
                <c:pt idx="743">
                  <c:v>74.3</c:v>
                </c:pt>
                <c:pt idx="744">
                  <c:v>74.4</c:v>
                </c:pt>
                <c:pt idx="745">
                  <c:v>74.5</c:v>
                </c:pt>
                <c:pt idx="746">
                  <c:v>74.6</c:v>
                </c:pt>
                <c:pt idx="747">
                  <c:v>74.7</c:v>
                </c:pt>
                <c:pt idx="748">
                  <c:v>74.8</c:v>
                </c:pt>
                <c:pt idx="749">
                  <c:v>74.9</c:v>
                </c:pt>
                <c:pt idx="750">
                  <c:v>75</c:v>
                </c:pt>
                <c:pt idx="751">
                  <c:v>75.1</c:v>
                </c:pt>
                <c:pt idx="752">
                  <c:v>75.2</c:v>
                </c:pt>
                <c:pt idx="753">
                  <c:v>75.3</c:v>
                </c:pt>
                <c:pt idx="754">
                  <c:v>75.4</c:v>
                </c:pt>
                <c:pt idx="755">
                  <c:v>75.5</c:v>
                </c:pt>
                <c:pt idx="756">
                  <c:v>75.6</c:v>
                </c:pt>
                <c:pt idx="757">
                  <c:v>75.7</c:v>
                </c:pt>
                <c:pt idx="758">
                  <c:v>75.8</c:v>
                </c:pt>
                <c:pt idx="759">
                  <c:v>75.9</c:v>
                </c:pt>
                <c:pt idx="760">
                  <c:v>76</c:v>
                </c:pt>
                <c:pt idx="761">
                  <c:v>76.1</c:v>
                </c:pt>
                <c:pt idx="762">
                  <c:v>76.2</c:v>
                </c:pt>
                <c:pt idx="763">
                  <c:v>76.3</c:v>
                </c:pt>
                <c:pt idx="764">
                  <c:v>76.4</c:v>
                </c:pt>
                <c:pt idx="765">
                  <c:v>76.5</c:v>
                </c:pt>
                <c:pt idx="766">
                  <c:v>76.6</c:v>
                </c:pt>
                <c:pt idx="767">
                  <c:v>76.7</c:v>
                </c:pt>
                <c:pt idx="768">
                  <c:v>76.8</c:v>
                </c:pt>
                <c:pt idx="769">
                  <c:v>76.9</c:v>
                </c:pt>
                <c:pt idx="770">
                  <c:v>77</c:v>
                </c:pt>
                <c:pt idx="771">
                  <c:v>77.1</c:v>
                </c:pt>
                <c:pt idx="772">
                  <c:v>77.2</c:v>
                </c:pt>
                <c:pt idx="773">
                  <c:v>77.3</c:v>
                </c:pt>
                <c:pt idx="774">
                  <c:v>77.4</c:v>
                </c:pt>
                <c:pt idx="775">
                  <c:v>77.5</c:v>
                </c:pt>
                <c:pt idx="776">
                  <c:v>77.6</c:v>
                </c:pt>
                <c:pt idx="777">
                  <c:v>77.7</c:v>
                </c:pt>
                <c:pt idx="778">
                  <c:v>77.8</c:v>
                </c:pt>
                <c:pt idx="779">
                  <c:v>77.9</c:v>
                </c:pt>
                <c:pt idx="780">
                  <c:v>78</c:v>
                </c:pt>
                <c:pt idx="781">
                  <c:v>78.1</c:v>
                </c:pt>
                <c:pt idx="782">
                  <c:v>78.2</c:v>
                </c:pt>
                <c:pt idx="783">
                  <c:v>78.3</c:v>
                </c:pt>
                <c:pt idx="784">
                  <c:v>78.4</c:v>
                </c:pt>
                <c:pt idx="785">
                  <c:v>78.5</c:v>
                </c:pt>
                <c:pt idx="786">
                  <c:v>78.6</c:v>
                </c:pt>
                <c:pt idx="787">
                  <c:v>78.7</c:v>
                </c:pt>
                <c:pt idx="788">
                  <c:v>78.8</c:v>
                </c:pt>
                <c:pt idx="789">
                  <c:v>78.9</c:v>
                </c:pt>
                <c:pt idx="790">
                  <c:v>79</c:v>
                </c:pt>
                <c:pt idx="791">
                  <c:v>79.1</c:v>
                </c:pt>
                <c:pt idx="792">
                  <c:v>79.2</c:v>
                </c:pt>
                <c:pt idx="793">
                  <c:v>79.3</c:v>
                </c:pt>
                <c:pt idx="794">
                  <c:v>79.4</c:v>
                </c:pt>
                <c:pt idx="795">
                  <c:v>79.5</c:v>
                </c:pt>
                <c:pt idx="796">
                  <c:v>79.6</c:v>
                </c:pt>
                <c:pt idx="797">
                  <c:v>79.7</c:v>
                </c:pt>
                <c:pt idx="798">
                  <c:v>79.8</c:v>
                </c:pt>
                <c:pt idx="799">
                  <c:v>79.9</c:v>
                </c:pt>
                <c:pt idx="800">
                  <c:v>80</c:v>
                </c:pt>
                <c:pt idx="801">
                  <c:v>80.1</c:v>
                </c:pt>
                <c:pt idx="802">
                  <c:v>80.2</c:v>
                </c:pt>
                <c:pt idx="803">
                  <c:v>80.3</c:v>
                </c:pt>
                <c:pt idx="804">
                  <c:v>80.4</c:v>
                </c:pt>
                <c:pt idx="805">
                  <c:v>80.5</c:v>
                </c:pt>
                <c:pt idx="806">
                  <c:v>80.6</c:v>
                </c:pt>
                <c:pt idx="807">
                  <c:v>80.7</c:v>
                </c:pt>
                <c:pt idx="808">
                  <c:v>80.8</c:v>
                </c:pt>
                <c:pt idx="809">
                  <c:v>80.9</c:v>
                </c:pt>
                <c:pt idx="810">
                  <c:v>81</c:v>
                </c:pt>
                <c:pt idx="811">
                  <c:v>81.1</c:v>
                </c:pt>
                <c:pt idx="812">
                  <c:v>81.2</c:v>
                </c:pt>
                <c:pt idx="813">
                  <c:v>81.3</c:v>
                </c:pt>
                <c:pt idx="814">
                  <c:v>81.4</c:v>
                </c:pt>
                <c:pt idx="815">
                  <c:v>81.5</c:v>
                </c:pt>
                <c:pt idx="816">
                  <c:v>81.6</c:v>
                </c:pt>
                <c:pt idx="817">
                  <c:v>81.7</c:v>
                </c:pt>
                <c:pt idx="818">
                  <c:v>81.8</c:v>
                </c:pt>
                <c:pt idx="819">
                  <c:v>81.9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</c:numCache>
            </c:numRef>
          </c:xVal>
          <c:yVal>
            <c:numRef>
              <c:f>Sheet1!$E$12:$E$1012</c:f>
              <c:numCache>
                <c:formatCode>General</c:formatCode>
                <c:ptCount val="1001"/>
                <c:pt idx="0">
                  <c:v>0</c:v>
                </c:pt>
                <c:pt idx="1">
                  <c:v>8.2553373098565E-006</c:v>
                </c:pt>
                <c:pt idx="2">
                  <c:v>1.63799840294091E-005</c:v>
                </c:pt>
                <c:pt idx="3">
                  <c:v>2.43760091268601E-005</c:v>
                </c:pt>
                <c:pt idx="4">
                  <c:v>3.22454488164897E-005</c:v>
                </c:pt>
                <c:pt idx="5">
                  <c:v>3.99903070771848E-005</c:v>
                </c:pt>
                <c:pt idx="6">
                  <c:v>4.76125561627585E-005</c:v>
                </c:pt>
                <c:pt idx="7">
                  <c:v>5.51141371041912E-005</c:v>
                </c:pt>
                <c:pt idx="8">
                  <c:v>6.2496960203921E-005</c:v>
                </c:pt>
                <c:pt idx="9">
                  <c:v>6.97629055223079E-005</c:v>
                </c:pt>
                <c:pt idx="10">
                  <c:v>7.69138233563978E-005</c:v>
                </c:pt>
                <c:pt idx="11">
                  <c:v>8.39515347111066E-005</c:v>
                </c:pt>
                <c:pt idx="12">
                  <c:v>9.08778317629452E-005</c:v>
                </c:pt>
                <c:pt idx="13">
                  <c:v>9.76944783164033E-005</c:v>
                </c:pt>
                <c:pt idx="14">
                  <c:v>0.000104403210253108</c:v>
                </c:pt>
                <c:pt idx="15">
                  <c:v>0.000111005735973871</c:v>
                </c:pt>
                <c:pt idx="16">
                  <c:v>0.000117503736833741</c:v>
                </c:pt>
                <c:pt idx="17">
                  <c:v>0.000123898867570162</c:v>
                </c:pt>
                <c:pt idx="18">
                  <c:v>0.000130192756724363</c:v>
                </c:pt>
                <c:pt idx="19">
                  <c:v>0.000136387007056066</c:v>
                </c:pt>
                <c:pt idx="20">
                  <c:v>0.00014248319595164</c:v>
                </c:pt>
                <c:pt idx="21">
                  <c:v>0.000148482875825782</c:v>
                </c:pt>
                <c:pt idx="22">
                  <c:v>0.000154387574516847</c:v>
                </c:pt>
                <c:pt idx="23">
                  <c:v>0.000160198795675918</c:v>
                </c:pt>
                <c:pt idx="24">
                  <c:v>0.000165918019149715</c:v>
                </c:pt>
                <c:pt idx="25">
                  <c:v>0.000171546701357442</c:v>
                </c:pt>
                <c:pt idx="26">
                  <c:v>0.00017708627566167</c:v>
                </c:pt>
                <c:pt idx="27">
                  <c:v>0.000182538152733346</c:v>
                </c:pt>
                <c:pt idx="28">
                  <c:v>0.000187903720911028</c:v>
                </c:pt>
                <c:pt idx="29">
                  <c:v>0.000193184346554427</c:v>
                </c:pt>
                <c:pt idx="30">
                  <c:v>0.000198381374392357</c:v>
                </c:pt>
                <c:pt idx="31">
                  <c:v>0.000203496127865175</c:v>
                </c:pt>
                <c:pt idx="32">
                  <c:v>0.000208529909461794</c:v>
                </c:pt>
                <c:pt idx="33">
                  <c:v>0.000213484001051376</c:v>
                </c:pt>
                <c:pt idx="34">
                  <c:v>0.000218359664209755</c:v>
                </c:pt>
                <c:pt idx="35">
                  <c:v>0.000223158140540706</c:v>
                </c:pt>
                <c:pt idx="36">
                  <c:v>0.000227880651992124</c:v>
                </c:pt>
                <c:pt idx="37">
                  <c:v>0.000232528401167194</c:v>
                </c:pt>
                <c:pt idx="38">
                  <c:v>0.000237102571630641</c:v>
                </c:pt>
                <c:pt idx="39">
                  <c:v>0.000241604328210127</c:v>
                </c:pt>
                <c:pt idx="40">
                  <c:v>0.000246034817292877</c:v>
                </c:pt>
                <c:pt idx="41">
                  <c:v>0.000250395167117614</c:v>
                </c:pt>
                <c:pt idx="42">
                  <c:v>0.000254686488061867</c:v>
                </c:pt>
                <c:pt idx="43">
                  <c:v>0.000258909872924728</c:v>
                </c:pt>
                <c:pt idx="44">
                  <c:v>0.000263066397205146</c:v>
                </c:pt>
                <c:pt idx="45">
                  <c:v>0.000267157119375798</c:v>
                </c:pt>
                <c:pt idx="46">
                  <c:v>0.000271183081152636</c:v>
                </c:pt>
                <c:pt idx="47">
                  <c:v>0.000275145307760164</c:v>
                </c:pt>
                <c:pt idx="48">
                  <c:v>0.000279044808192513</c:v>
                </c:pt>
                <c:pt idx="49">
                  <c:v>0.000282882575470387</c:v>
                </c:pt>
                <c:pt idx="50">
                  <c:v>0.000286659586893937</c:v>
                </c:pt>
                <c:pt idx="51">
                  <c:v>0.000290376804291634</c:v>
                </c:pt>
                <c:pt idx="52">
                  <c:v>0.000294035174265203</c:v>
                </c:pt>
                <c:pt idx="53">
                  <c:v>0.000297635628430677</c:v>
                </c:pt>
                <c:pt idx="54">
                  <c:v>0.000301179083655637</c:v>
                </c:pt>
                <c:pt idx="55">
                  <c:v>0.000304666442292695</c:v>
                </c:pt>
                <c:pt idx="56">
                  <c:v>0.000308098592409281</c:v>
                </c:pt>
                <c:pt idx="57">
                  <c:v>0.000311476408013791</c:v>
                </c:pt>
                <c:pt idx="58">
                  <c:v>0.000314800749278159</c:v>
                </c:pt>
                <c:pt idx="59">
                  <c:v>0.000318072462756902</c:v>
                </c:pt>
                <c:pt idx="60">
                  <c:v>0.000321292381602694</c:v>
                </c:pt>
                <c:pt idx="61">
                  <c:v>0.000324461325778538</c:v>
                </c:pt>
                <c:pt idx="62">
                  <c:v>0.000327580102266565</c:v>
                </c:pt>
                <c:pt idx="63">
                  <c:v>0.00033064950527354</c:v>
                </c:pt>
                <c:pt idx="64">
                  <c:v>0.000333670316433107</c:v>
                </c:pt>
                <c:pt idx="65">
                  <c:v>0.000336643305004835</c:v>
                </c:pt>
                <c:pt idx="66">
                  <c:v>0.000339569228070113</c:v>
                </c:pt>
                <c:pt idx="67">
                  <c:v>0.000342448830724942</c:v>
                </c:pt>
                <c:pt idx="68">
                  <c:v>0.000345282846269678</c:v>
                </c:pt>
                <c:pt idx="69">
                  <c:v>0.000348071996395768</c:v>
                </c:pt>
                <c:pt idx="70">
                  <c:v>0.000350816991369531</c:v>
                </c:pt>
                <c:pt idx="71">
                  <c:v>0.000353518530213031</c:v>
                </c:pt>
                <c:pt idx="72">
                  <c:v>0.000356177300882084</c:v>
                </c:pt>
                <c:pt idx="73">
                  <c:v>0.000358793980441449</c:v>
                </c:pt>
                <c:pt idx="74">
                  <c:v>0.000361369235237245</c:v>
                </c:pt>
                <c:pt idx="75">
                  <c:v>0.000363903721066635</c:v>
                </c:pt>
                <c:pt idx="76">
                  <c:v>0.000366398083344834</c:v>
                </c:pt>
                <c:pt idx="77">
                  <c:v>0.000368852957269458</c:v>
                </c:pt>
                <c:pt idx="78">
                  <c:v>0.000371268967982284</c:v>
                </c:pt>
                <c:pt idx="79">
                  <c:v>0.000373646730728445</c:v>
                </c:pt>
                <c:pt idx="80">
                  <c:v>0.000375986851013101</c:v>
                </c:pt>
                <c:pt idx="81">
                  <c:v>0.000378289924755634</c:v>
                </c:pt>
                <c:pt idx="82">
                  <c:v>0.000380556538441404</c:v>
                </c:pt>
                <c:pt idx="83">
                  <c:v>0.000382787269271093</c:v>
                </c:pt>
                <c:pt idx="84">
                  <c:v>0.000384982685307697</c:v>
                </c:pt>
                <c:pt idx="85">
                  <c:v>0.000387143345621183</c:v>
                </c:pt>
                <c:pt idx="86">
                  <c:v>0.000389269800430858</c:v>
                </c:pt>
                <c:pt idx="87">
                  <c:v>0.000391362591245484</c:v>
                </c:pt>
                <c:pt idx="88">
                  <c:v>0.000393422251001174</c:v>
                </c:pt>
                <c:pt idx="89">
                  <c:v>0.000395449304197108</c:v>
                </c:pt>
                <c:pt idx="90">
                  <c:v>0.000397444267029099</c:v>
                </c:pt>
                <c:pt idx="91">
                  <c:v>0.000399407647521039</c:v>
                </c:pt>
                <c:pt idx="92">
                  <c:v>0.000401339945654276</c:v>
                </c:pt>
                <c:pt idx="93">
                  <c:v>0.00040324165349493</c:v>
                </c:pt>
                <c:pt idx="94">
                  <c:v>0.000405113255319204</c:v>
                </c:pt>
                <c:pt idx="95">
                  <c:v>0.000406955227736701</c:v>
                </c:pt>
                <c:pt idx="96">
                  <c:v>0.0004087680398118</c:v>
                </c:pt>
                <c:pt idx="97">
                  <c:v>0.000410552153183102</c:v>
                </c:pt>
                <c:pt idx="98">
                  <c:v>0.000412308022180987</c:v>
                </c:pt>
                <c:pt idx="99">
                  <c:v>0.000414036093943311</c:v>
                </c:pt>
                <c:pt idx="100">
                  <c:v>0.000415736808529274</c:v>
                </c:pt>
                <c:pt idx="101">
                  <c:v>0.00041741059903148</c:v>
                </c:pt>
                <c:pt idx="102">
                  <c:v>0.000419057891686224</c:v>
                </c:pt>
                <c:pt idx="103">
                  <c:v>0.000420679105982039</c:v>
                </c:pt>
                <c:pt idx="104">
                  <c:v>0.000422274654766515</c:v>
                </c:pt>
                <c:pt idx="105">
                  <c:v>0.000423844944351437</c:v>
                </c:pt>
                <c:pt idx="106">
                  <c:v>0.000425390374616248</c:v>
                </c:pt>
                <c:pt idx="107">
                  <c:v>0.000426911339109886</c:v>
                </c:pt>
                <c:pt idx="108">
                  <c:v>0.000428408225150998</c:v>
                </c:pt>
                <c:pt idx="109">
                  <c:v>0.000429881413926573</c:v>
                </c:pt>
                <c:pt idx="110">
                  <c:v>0.000431331280589012</c:v>
                </c:pt>
                <c:pt idx="111">
                  <c:v>0.000432758194351665</c:v>
                </c:pt>
                <c:pt idx="112">
                  <c:v>0.000434162518582848</c:v>
                </c:pt>
                <c:pt idx="113">
                  <c:v>0.00043554461089838</c:v>
                </c:pt>
                <c:pt idx="114">
                  <c:v>0.000436904823252646</c:v>
                </c:pt>
                <c:pt idx="115">
                  <c:v>0.000438243502028229</c:v>
                </c:pt>
                <c:pt idx="116">
                  <c:v>0.000439560988124113</c:v>
                </c:pt>
                <c:pt idx="117">
                  <c:v>0.000440857617042499</c:v>
                </c:pt>
                <c:pt idx="118">
                  <c:v>0.000442133718974234</c:v>
                </c:pt>
                <c:pt idx="119">
                  <c:v>0.000443389618882904</c:v>
                </c:pt>
                <c:pt idx="120">
                  <c:v>0.000444625636587581</c:v>
                </c:pt>
                <c:pt idx="121">
                  <c:v>0.000445842086844268</c:v>
                </c:pt>
                <c:pt idx="122">
                  <c:v>0.000447039279426053</c:v>
                </c:pt>
                <c:pt idx="123">
                  <c:v>0.000448217519201993</c:v>
                </c:pt>
                <c:pt idx="124">
                  <c:v>0.000449377106214749</c:v>
                </c:pt>
                <c:pt idx="125">
                  <c:v>0.000450518335756997</c:v>
                </c:pt>
                <c:pt idx="126">
                  <c:v>0.000451641498446619</c:v>
                </c:pt>
                <c:pt idx="127">
                  <c:v>0.000452746880300716</c:v>
                </c:pt>
                <c:pt idx="128">
                  <c:v>0.000453834762808439</c:v>
                </c:pt>
                <c:pt idx="129">
                  <c:v>0.000454905423002671</c:v>
                </c:pt>
                <c:pt idx="130">
                  <c:v>0.000455959133530579</c:v>
                </c:pt>
                <c:pt idx="131">
                  <c:v>0.000456996162723039</c:v>
                </c:pt>
                <c:pt idx="132">
                  <c:v>0.00045801677466297</c:v>
                </c:pt>
                <c:pt idx="133">
                  <c:v>0.000459021229252585</c:v>
                </c:pt>
                <c:pt idx="134">
                  <c:v>0.000460009782279571</c:v>
                </c:pt>
                <c:pt idx="135">
                  <c:v>0.000460982685482232</c:v>
                </c:pt>
                <c:pt idx="136">
                  <c:v>0.000461940186613591</c:v>
                </c:pt>
                <c:pt idx="137">
                  <c:v>0.000462882529504484</c:v>
                </c:pt>
                <c:pt idx="138">
                  <c:v>0.00046380995412565</c:v>
                </c:pt>
                <c:pt idx="139">
                  <c:v>0.00046472269664884</c:v>
                </c:pt>
                <c:pt idx="140">
                  <c:v>0.000465620989506962</c:v>
                </c:pt>
                <c:pt idx="141">
                  <c:v>0.000466505061453268</c:v>
                </c:pt>
                <c:pt idx="142">
                  <c:v>0.000467375137619608</c:v>
                </c:pt>
                <c:pt idx="143">
                  <c:v>0.000468231439573761</c:v>
                </c:pt>
                <c:pt idx="144">
                  <c:v>0.000469074185375855</c:v>
                </c:pt>
                <c:pt idx="145">
                  <c:v>0.000469903589633901</c:v>
                </c:pt>
                <c:pt idx="146">
                  <c:v>0.00047071986355844</c:v>
                </c:pt>
                <c:pt idx="147">
                  <c:v>0.000471523215016333</c:v>
                </c:pt>
                <c:pt idx="148">
                  <c:v>0.000472313848583688</c:v>
                </c:pt>
                <c:pt idx="149">
                  <c:v>0.000473091965597963</c:v>
                </c:pt>
                <c:pt idx="150">
                  <c:v>0.000473857764209234</c:v>
                </c:pt>
                <c:pt idx="151">
                  <c:v>0.000474611439430654</c:v>
                </c:pt>
                <c:pt idx="152">
                  <c:v>0.000475353183188114</c:v>
                </c:pt>
                <c:pt idx="153">
                  <c:v>0.00047608318436912</c:v>
                </c:pt>
                <c:pt idx="154">
                  <c:v>0.000476801628870891</c:v>
                </c:pt>
                <c:pt idx="155">
                  <c:v>0.000477508699647699</c:v>
                </c:pt>
                <c:pt idx="156">
                  <c:v>0.00047820457675746</c:v>
                </c:pt>
                <c:pt idx="157">
                  <c:v>0.000478889437407585</c:v>
                </c:pt>
                <c:pt idx="158">
                  <c:v>0.000479563456000108</c:v>
                </c:pt>
                <c:pt idx="159">
                  <c:v>0.000480226804176095</c:v>
                </c:pt>
                <c:pt idx="160">
                  <c:v>0.000480879650859359</c:v>
                </c:pt>
                <c:pt idx="161">
                  <c:v>0.000481522162299469</c:v>
                </c:pt>
                <c:pt idx="162">
                  <c:v>0.000482154502114091</c:v>
                </c:pt>
                <c:pt idx="163">
                  <c:v>0.000482776831330656</c:v>
                </c:pt>
                <c:pt idx="164">
                  <c:v>0.000483389308427358</c:v>
                </c:pt>
                <c:pt idx="165">
                  <c:v>0.00048399208937352</c:v>
                </c:pt>
                <c:pt idx="166">
                  <c:v>0.000484585327669307</c:v>
                </c:pt>
                <c:pt idx="167">
                  <c:v>0.000485169174384817</c:v>
                </c:pt>
                <c:pt idx="168">
                  <c:v>0.000485743778198548</c:v>
                </c:pt>
                <c:pt idx="169">
                  <c:v>0.000486309285435266</c:v>
                </c:pt>
                <c:pt idx="170">
                  <c:v>0.000486865840103263</c:v>
                </c:pt>
                <c:pt idx="171">
                  <c:v>0.000487413583931028</c:v>
                </c:pt>
                <c:pt idx="172">
                  <c:v>0.000487952656403341</c:v>
                </c:pt>
                <c:pt idx="173">
                  <c:v>0.000488483194796794</c:v>
                </c:pt>
                <c:pt idx="174">
                  <c:v>0.000489005334214745</c:v>
                </c:pt>
                <c:pt idx="175">
                  <c:v>0.000489519207621728</c:v>
                </c:pt>
                <c:pt idx="176">
                  <c:v>0.000490024945877308</c:v>
                </c:pt>
                <c:pt idx="177">
                  <c:v>0.000490522677769406</c:v>
                </c:pt>
                <c:pt idx="178">
                  <c:v>0.000491012530047099</c:v>
                </c:pt>
                <c:pt idx="179">
                  <c:v>0.000491494627452892</c:v>
                </c:pt>
                <c:pt idx="180">
                  <c:v>0.000491969092754485</c:v>
                </c:pt>
                <c:pt idx="181">
                  <c:v>0.00049243604677604</c:v>
                </c:pt>
                <c:pt idx="182">
                  <c:v>0.000492895608428946</c:v>
                </c:pt>
                <c:pt idx="183">
                  <c:v>0.000493347894742099</c:v>
                </c:pt>
                <c:pt idx="184">
                  <c:v>0.000493793020891708</c:v>
                </c:pt>
                <c:pt idx="185">
                  <c:v>0.000494231100230621</c:v>
                </c:pt>
                <c:pt idx="186">
                  <c:v>0.000494662244317193</c:v>
                </c:pt>
                <c:pt idx="187">
                  <c:v>0.000495086562943694</c:v>
                </c:pt>
                <c:pt idx="188">
                  <c:v>0.000495504164164269</c:v>
                </c:pt>
                <c:pt idx="189">
                  <c:v>0.00049591515432245</c:v>
                </c:pt>
                <c:pt idx="190">
                  <c:v>0.000496319638078245</c:v>
                </c:pt>
                <c:pt idx="191">
                  <c:v>0.00049671771843478</c:v>
                </c:pt>
                <c:pt idx="192">
                  <c:v>0.000497109496764537</c:v>
                </c:pt>
                <c:pt idx="193">
                  <c:v>0.000497495072835167</c:v>
                </c:pt>
                <c:pt idx="194">
                  <c:v>0.000497874544834893</c:v>
                </c:pt>
                <c:pt idx="195">
                  <c:v>0.000498248009397516</c:v>
                </c:pt>
                <c:pt idx="196">
                  <c:v>0.000498615561627025</c:v>
                </c:pt>
                <c:pt idx="197">
                  <c:v>0.000498977295121812</c:v>
                </c:pt>
                <c:pt idx="198">
                  <c:v>0.000499333301998511</c:v>
                </c:pt>
                <c:pt idx="199">
                  <c:v>0.000499683672915451</c:v>
                </c:pt>
                <c:pt idx="200">
                  <c:v>0.000500028497095749</c:v>
                </c:pt>
                <c:pt idx="201">
                  <c:v>0.000500367862350022</c:v>
                </c:pt>
                <c:pt idx="202">
                  <c:v>0.000500701855098759</c:v>
                </c:pt>
                <c:pt idx="203">
                  <c:v>0.000501030560394317</c:v>
                </c:pt>
                <c:pt idx="204">
                  <c:v>0.000501354061942591</c:v>
                </c:pt>
                <c:pt idx="205">
                  <c:v>0.000501672442124321</c:v>
                </c:pt>
                <c:pt idx="206">
                  <c:v>0.000501985782016075</c:v>
                </c:pt>
                <c:pt idx="207">
                  <c:v>0.000502294161410895</c:v>
                </c:pt>
                <c:pt idx="208">
                  <c:v>0.000502597658838614</c:v>
                </c:pt>
                <c:pt idx="209">
                  <c:v>0.000502896351585859</c:v>
                </c:pt>
                <c:pt idx="210">
                  <c:v>0.000503190315715726</c:v>
                </c:pt>
                <c:pt idx="211">
                  <c:v>0.000503479626087156</c:v>
                </c:pt>
                <c:pt idx="212">
                  <c:v>0.000503764356373993</c:v>
                </c:pt>
                <c:pt idx="213">
                  <c:v>0.000504044579083748</c:v>
                </c:pt>
                <c:pt idx="214">
                  <c:v>0.000504320365576062</c:v>
                </c:pt>
                <c:pt idx="215">
                  <c:v>0.000504591786080879</c:v>
                </c:pt>
                <c:pt idx="216">
                  <c:v>0.00050485890971633</c:v>
                </c:pt>
                <c:pt idx="217">
                  <c:v>0.000505121804506333</c:v>
                </c:pt>
                <c:pt idx="218">
                  <c:v>0.000505380537397917</c:v>
                </c:pt>
                <c:pt idx="219">
                  <c:v>0.000505635174278271</c:v>
                </c:pt>
                <c:pt idx="220">
                  <c:v>0.00050588577999152</c:v>
                </c:pt>
                <c:pt idx="221">
                  <c:v>0.000506132418355239</c:v>
                </c:pt>
                <c:pt idx="222">
                  <c:v>0.000506375152176704</c:v>
                </c:pt>
                <c:pt idx="223">
                  <c:v>0.000506614043268886</c:v>
                </c:pt>
                <c:pt idx="224">
                  <c:v>0.000506849152466195</c:v>
                </c:pt>
                <c:pt idx="225">
                  <c:v>0.000507080539639966</c:v>
                </c:pt>
                <c:pt idx="226">
                  <c:v>0.000507308263713709</c:v>
                </c:pt>
                <c:pt idx="227">
                  <c:v>0.000507532382678113</c:v>
                </c:pt>
                <c:pt idx="228">
                  <c:v>0.000507752953605817</c:v>
                </c:pt>
                <c:pt idx="229">
                  <c:v>0.000507970032665937</c:v>
                </c:pt>
                <c:pt idx="230">
                  <c:v>0.000508183675138375</c:v>
                </c:pt>
                <c:pt idx="231">
                  <c:v>0.000508393935427894</c:v>
                </c:pt>
                <c:pt idx="232">
                  <c:v>0.000508600867077974</c:v>
                </c:pt>
                <c:pt idx="233">
                  <c:v>0.000508804522784445</c:v>
                </c:pt>
                <c:pt idx="234">
                  <c:v>0.000509004954408907</c:v>
                </c:pt>
                <c:pt idx="235">
                  <c:v>0.000509202212991937</c:v>
                </c:pt>
                <c:pt idx="236">
                  <c:v>0.000509396348766087</c:v>
                </c:pt>
                <c:pt idx="237">
                  <c:v>0.000509587411168676</c:v>
                </c:pt>
                <c:pt idx="238">
                  <c:v>0.000509775448854376</c:v>
                </c:pt>
                <c:pt idx="239">
                  <c:v>0.000509960509707607</c:v>
                </c:pt>
                <c:pt idx="240">
                  <c:v>0.000510142640854729</c:v>
                </c:pt>
                <c:pt idx="241">
                  <c:v>0.000510321888676042</c:v>
                </c:pt>
                <c:pt idx="242">
                  <c:v>0.000510498298817597</c:v>
                </c:pt>
                <c:pt idx="243">
                  <c:v>0.000510671916202821</c:v>
                </c:pt>
                <c:pt idx="244">
                  <c:v>0.000510842785043957</c:v>
                </c:pt>
                <c:pt idx="245">
                  <c:v>0.00051101094885332</c:v>
                </c:pt>
                <c:pt idx="246">
                  <c:v>0.000511176450454383</c:v>
                </c:pt>
                <c:pt idx="247">
                  <c:v>0.000511339331992675</c:v>
                </c:pt>
                <c:pt idx="248">
                  <c:v>0.000511499634946521</c:v>
                </c:pt>
                <c:pt idx="249">
                  <c:v>0.000511657400137599</c:v>
                </c:pt>
                <c:pt idx="250">
                  <c:v>0.000511812667741336</c:v>
                </c:pt>
                <c:pt idx="251">
                  <c:v>0.000511965477297144</c:v>
                </c:pt>
                <c:pt idx="252">
                  <c:v>0.000512115867718481</c:v>
                </c:pt>
                <c:pt idx="253">
                  <c:v>0.000512263877302766</c:v>
                </c:pt>
                <c:pt idx="254">
                  <c:v>0.000512409543741131</c:v>
                </c:pt>
                <c:pt idx="255">
                  <c:v>0.000512552904128016</c:v>
                </c:pt>
                <c:pt idx="256">
                  <c:v>0.000512693994970619</c:v>
                </c:pt>
                <c:pt idx="257">
                  <c:v>0.00051283285219819</c:v>
                </c:pt>
                <c:pt idx="258">
                  <c:v>0.000512969511171183</c:v>
                </c:pt>
                <c:pt idx="259">
                  <c:v>0.000513104006690258</c:v>
                </c:pt>
                <c:pt idx="260">
                  <c:v>0.000513236373005143</c:v>
                </c:pt>
                <c:pt idx="261">
                  <c:v>0.00051336664382336</c:v>
                </c:pt>
                <c:pt idx="262">
                  <c:v>0.000513494852318805</c:v>
                </c:pt>
                <c:pt idx="263">
                  <c:v>0.000513621031140194</c:v>
                </c:pt>
                <c:pt idx="264">
                  <c:v>0.000513745212419384</c:v>
                </c:pt>
                <c:pt idx="265">
                  <c:v>0.000513867427779547</c:v>
                </c:pt>
                <c:pt idx="266">
                  <c:v>0.000513987708343232</c:v>
                </c:pt>
                <c:pt idx="267">
                  <c:v>0.000514106084740281</c:v>
                </c:pt>
                <c:pt idx="268">
                  <c:v>0.000514222587115635</c:v>
                </c:pt>
                <c:pt idx="269">
                  <c:v>0.000514337245137012</c:v>
                </c:pt>
                <c:pt idx="270">
                  <c:v>0.000514450088002457</c:v>
                </c:pt>
                <c:pt idx="271">
                  <c:v>0.000514561144447777</c:v>
                </c:pt>
                <c:pt idx="272">
                  <c:v>0.000514670442753866</c:v>
                </c:pt>
                <c:pt idx="273">
                  <c:v>0.000514778010753898</c:v>
                </c:pt>
                <c:pt idx="274">
                  <c:v>0.000514883875840423</c:v>
                </c:pt>
                <c:pt idx="275">
                  <c:v>0.000514988064972333</c:v>
                </c:pt>
                <c:pt idx="276">
                  <c:v>0.000515090604681738</c:v>
                </c:pt>
                <c:pt idx="277">
                  <c:v>0.000515191521080714</c:v>
                </c:pt>
                <c:pt idx="278">
                  <c:v>0.000515290839867956</c:v>
                </c:pt>
                <c:pt idx="279">
                  <c:v>0.000515388586335321</c:v>
                </c:pt>
                <c:pt idx="280">
                  <c:v>0.000515484785374273</c:v>
                </c:pt>
                <c:pt idx="281">
                  <c:v>0.000515579461482216</c:v>
                </c:pt>
                <c:pt idx="282">
                  <c:v>0.000515672638768732</c:v>
                </c:pt>
                <c:pt idx="283">
                  <c:v>0.000515764340961728</c:v>
                </c:pt>
                <c:pt idx="284">
                  <c:v>0.00051585459141347</c:v>
                </c:pt>
                <c:pt idx="285">
                  <c:v>0.000515943413106535</c:v>
                </c:pt>
                <c:pt idx="286">
                  <c:v>0.000516030828659662</c:v>
                </c:pt>
                <c:pt idx="287">
                  <c:v>0.00051611686033351</c:v>
                </c:pt>
                <c:pt idx="288">
                  <c:v>0.00051620153003633</c:v>
                </c:pt>
                <c:pt idx="289">
                  <c:v>0.000516284859329543</c:v>
                </c:pt>
                <c:pt idx="290">
                  <c:v>0.000516366869433229</c:v>
                </c:pt>
                <c:pt idx="291">
                  <c:v>0.000516447581231533</c:v>
                </c:pt>
                <c:pt idx="292">
                  <c:v>0.000516527015277981</c:v>
                </c:pt>
                <c:pt idx="293">
                  <c:v>0.000516605191800717</c:v>
                </c:pt>
                <c:pt idx="294">
                  <c:v>0.000516682130707652</c:v>
                </c:pt>
                <c:pt idx="295">
                  <c:v>0.000516757851591531</c:v>
                </c:pt>
                <c:pt idx="296">
                  <c:v>0.000516832373734931</c:v>
                </c:pt>
                <c:pt idx="297">
                  <c:v>0.000516905716115161</c:v>
                </c:pt>
                <c:pt idx="298">
                  <c:v>0.000516977897409101</c:v>
                </c:pt>
                <c:pt idx="299">
                  <c:v>0.000517048935997957</c:v>
                </c:pt>
                <c:pt idx="300">
                  <c:v>0.000517118849971941</c:v>
                </c:pt>
                <c:pt idx="301">
                  <c:v>0.000517187657134879</c:v>
                </c:pt>
                <c:pt idx="302">
                  <c:v>0.000517255375008741</c:v>
                </c:pt>
                <c:pt idx="303">
                  <c:v>0.000517322020838109</c:v>
                </c:pt>
                <c:pt idx="304">
                  <c:v>0.000517387611594565</c:v>
                </c:pt>
                <c:pt idx="305">
                  <c:v>0.000517452163981011</c:v>
                </c:pt>
                <c:pt idx="306">
                  <c:v>0.000517515694435927</c:v>
                </c:pt>
                <c:pt idx="307">
                  <c:v>0.000517578219137554</c:v>
                </c:pt>
                <c:pt idx="308">
                  <c:v>0.000517639754008013</c:v>
                </c:pt>
                <c:pt idx="309">
                  <c:v>0.000517700314717364</c:v>
                </c:pt>
                <c:pt idx="310">
                  <c:v>0.000517759916687592</c:v>
                </c:pt>
                <c:pt idx="311">
                  <c:v>0.000517818575096535</c:v>
                </c:pt>
                <c:pt idx="312">
                  <c:v>0.000517876304881753</c:v>
                </c:pt>
                <c:pt idx="313">
                  <c:v>0.000517933120744326</c:v>
                </c:pt>
                <c:pt idx="314">
                  <c:v>0.000517989037152602</c:v>
                </c:pt>
                <c:pt idx="315">
                  <c:v>0.000518044068345879</c:v>
                </c:pt>
                <c:pt idx="316">
                  <c:v>0.000518098228338033</c:v>
                </c:pt>
                <c:pt idx="317">
                  <c:v>0.000518151530921086</c:v>
                </c:pt>
                <c:pt idx="318">
                  <c:v>0.000518203989668716</c:v>
                </c:pt>
                <c:pt idx="319">
                  <c:v>0.000518255617939718</c:v>
                </c:pt>
                <c:pt idx="320">
                  <c:v>0.000518306428881403</c:v>
                </c:pt>
                <c:pt idx="321">
                  <c:v>0.000518356435432943</c:v>
                </c:pt>
                <c:pt idx="322">
                  <c:v>0.000518405650328675</c:v>
                </c:pt>
                <c:pt idx="323">
                  <c:v>0.000518454086101333</c:v>
                </c:pt>
                <c:pt idx="324">
                  <c:v>0.000518501755085248</c:v>
                </c:pt>
                <c:pt idx="325">
                  <c:v>0.000518548669419484</c:v>
                </c:pt>
                <c:pt idx="326">
                  <c:v>0.000518594841050933</c:v>
                </c:pt>
                <c:pt idx="327">
                  <c:v>0.000518640281737353</c:v>
                </c:pt>
                <c:pt idx="328">
                  <c:v>0.000518685003050365</c:v>
                </c:pt>
                <c:pt idx="329">
                  <c:v>0.000518729016378399</c:v>
                </c:pt>
                <c:pt idx="330">
                  <c:v>0.000518772332929597</c:v>
                </c:pt>
                <c:pt idx="331">
                  <c:v>0.00051881496373466</c:v>
                </c:pt>
                <c:pt idx="332">
                  <c:v>0.000518856919649665</c:v>
                </c:pt>
                <c:pt idx="333">
                  <c:v>0.000518898211358824</c:v>
                </c:pt>
                <c:pt idx="334">
                  <c:v>0.000518938849377208</c:v>
                </c:pt>
                <c:pt idx="335">
                  <c:v>0.000518978844053424</c:v>
                </c:pt>
                <c:pt idx="336">
                  <c:v>0.000519018205572247</c:v>
                </c:pt>
                <c:pt idx="337">
                  <c:v>0.000519056943957218</c:v>
                </c:pt>
                <c:pt idx="338">
                  <c:v>0.000519095069073197</c:v>
                </c:pt>
                <c:pt idx="339">
                  <c:v>0.00051913259062887</c:v>
                </c:pt>
                <c:pt idx="340">
                  <c:v>0.000519169518179225</c:v>
                </c:pt>
                <c:pt idx="341">
                  <c:v>0.000519205861127986</c:v>
                </c:pt>
                <c:pt idx="342">
                  <c:v>0.000519241628730004</c:v>
                </c:pt>
                <c:pt idx="343">
                  <c:v>0.000519276830093619</c:v>
                </c:pt>
                <c:pt idx="344">
                  <c:v>0.000519311474182973</c:v>
                </c:pt>
                <c:pt idx="345">
                  <c:v>0.0005193455698203</c:v>
                </c:pt>
                <c:pt idx="346">
                  <c:v>0.000519379125688166</c:v>
                </c:pt>
                <c:pt idx="347">
                  <c:v>0.000519412150331684</c:v>
                </c:pt>
                <c:pt idx="348">
                  <c:v>0.000519444652160689</c:v>
                </c:pt>
                <c:pt idx="349">
                  <c:v>0.000519476639451879</c:v>
                </c:pt>
                <c:pt idx="350">
                  <c:v>0.000519508120350925</c:v>
                </c:pt>
                <c:pt idx="351">
                  <c:v>0.00051953910287454</c:v>
                </c:pt>
                <c:pt idx="352">
                  <c:v>0.000519569594912528</c:v>
                </c:pt>
                <c:pt idx="353">
                  <c:v>0.000519599604229787</c:v>
                </c:pt>
                <c:pt idx="354">
                  <c:v>0.000519629138468289</c:v>
                </c:pt>
                <c:pt idx="355">
                  <c:v>0.000519658205149026</c:v>
                </c:pt>
                <c:pt idx="356">
                  <c:v>0.000519686811673924</c:v>
                </c:pt>
                <c:pt idx="357">
                  <c:v>0.00051971496532773</c:v>
                </c:pt>
                <c:pt idx="358">
                  <c:v>0.000519742673279865</c:v>
                </c:pt>
                <c:pt idx="359">
                  <c:v>0.00051976994258625</c:v>
                </c:pt>
                <c:pt idx="360">
                  <c:v>0.000519796780191105</c:v>
                </c:pt>
                <c:pt idx="361">
                  <c:v>0.000519823192928715</c:v>
                </c:pt>
                <c:pt idx="362">
                  <c:v>0.000519849187525171</c:v>
                </c:pt>
                <c:pt idx="363">
                  <c:v>0.000519874770600083</c:v>
                </c:pt>
                <c:pt idx="364">
                  <c:v>0.000519899948668266</c:v>
                </c:pt>
                <c:pt idx="365">
                  <c:v>0.000519924728141398</c:v>
                </c:pt>
                <c:pt idx="366">
                  <c:v>0.000519949115329654</c:v>
                </c:pt>
                <c:pt idx="367">
                  <c:v>0.000519973116443313</c:v>
                </c:pt>
                <c:pt idx="368">
                  <c:v>0.000519996737594337</c:v>
                </c:pt>
                <c:pt idx="369">
                  <c:v>0.000520019984797932</c:v>
                </c:pt>
                <c:pt idx="370">
                  <c:v>0.000520042863974073</c:v>
                </c:pt>
                <c:pt idx="371">
                  <c:v>0.000520065380949021</c:v>
                </c:pt>
                <c:pt idx="372">
                  <c:v>0.000520087541456795</c:v>
                </c:pt>
                <c:pt idx="373">
                  <c:v>0.000520109351140644</c:v>
                </c:pt>
                <c:pt idx="374">
                  <c:v>0.000520130815554476</c:v>
                </c:pt>
                <c:pt idx="375">
                  <c:v>0.000520151940164275</c:v>
                </c:pt>
                <c:pt idx="376">
                  <c:v>0.000520172730349492</c:v>
                </c:pt>
                <c:pt idx="377">
                  <c:v>0.000520193191404417</c:v>
                </c:pt>
                <c:pt idx="378">
                  <c:v>0.000520213328539525</c:v>
                </c:pt>
                <c:pt idx="379">
                  <c:v>0.000520233146882806</c:v>
                </c:pt>
                <c:pt idx="380">
                  <c:v>0.000520252651481064</c:v>
                </c:pt>
                <c:pt idx="381">
                  <c:v>0.000520271847301212</c:v>
                </c:pt>
                <c:pt idx="382">
                  <c:v>0.000520290739231528</c:v>
                </c:pt>
                <c:pt idx="383">
                  <c:v>0.000520309332082905</c:v>
                </c:pt>
                <c:pt idx="384">
                  <c:v>0.000520327630590074</c:v>
                </c:pt>
                <c:pt idx="385">
                  <c:v>0.00052034563941281</c:v>
                </c:pt>
                <c:pt idx="386">
                  <c:v>0.000520363363137121</c:v>
                </c:pt>
                <c:pt idx="387">
                  <c:v>0.00052038080627641</c:v>
                </c:pt>
                <c:pt idx="388">
                  <c:v>0.000520397973272631</c:v>
                </c:pt>
                <c:pt idx="389">
                  <c:v>0.000520414868497417</c:v>
                </c:pt>
                <c:pt idx="390">
                  <c:v>0.000520431496253193</c:v>
                </c:pt>
                <c:pt idx="391">
                  <c:v>0.000520447860774272</c:v>
                </c:pt>
                <c:pt idx="392">
                  <c:v>0.000520463966227932</c:v>
                </c:pt>
                <c:pt idx="393">
                  <c:v>0.000520479816715482</c:v>
                </c:pt>
                <c:pt idx="394">
                  <c:v>0.000520495416273301</c:v>
                </c:pt>
                <c:pt idx="395">
                  <c:v>0.000520510768873867</c:v>
                </c:pt>
                <c:pt idx="396">
                  <c:v>0.000520525878426771</c:v>
                </c:pt>
                <c:pt idx="397">
                  <c:v>0.000520540748779711</c:v>
                </c:pt>
                <c:pt idx="398">
                  <c:v>0.000520555383719472</c:v>
                </c:pt>
                <c:pt idx="399">
                  <c:v>0.000520569786972889</c:v>
                </c:pt>
                <c:pt idx="400">
                  <c:v>0.000520583962207799</c:v>
                </c:pt>
                <c:pt idx="401">
                  <c:v>0.000520597913033972</c:v>
                </c:pt>
                <c:pt idx="402">
                  <c:v>0.000520611643004032</c:v>
                </c:pt>
                <c:pt idx="403">
                  <c:v>0.000520625155614362</c:v>
                </c:pt>
                <c:pt idx="404">
                  <c:v>0.000520638454305992</c:v>
                </c:pt>
                <c:pt idx="405">
                  <c:v>0.000520651542465479</c:v>
                </c:pt>
                <c:pt idx="406">
                  <c:v>0.000520664423425765</c:v>
                </c:pt>
                <c:pt idx="407">
                  <c:v>0.00052067710046703</c:v>
                </c:pt>
                <c:pt idx="408">
                  <c:v>0.000520689576817525</c:v>
                </c:pt>
                <c:pt idx="409">
                  <c:v>0.000520701855654393</c:v>
                </c:pt>
                <c:pt idx="410">
                  <c:v>0.000520713940104481</c:v>
                </c:pt>
                <c:pt idx="411">
                  <c:v>0.000520725833245134</c:v>
                </c:pt>
                <c:pt idx="412">
                  <c:v>0.00052073753810498</c:v>
                </c:pt>
                <c:pt idx="413">
                  <c:v>0.0005207490576647</c:v>
                </c:pt>
                <c:pt idx="414">
                  <c:v>0.000520760394857788</c:v>
                </c:pt>
                <c:pt idx="415">
                  <c:v>0.000520771552571298</c:v>
                </c:pt>
                <c:pt idx="416">
                  <c:v>0.000520782533646579</c:v>
                </c:pt>
                <c:pt idx="417">
                  <c:v>0.000520793340879997</c:v>
                </c:pt>
                <c:pt idx="418">
                  <c:v>0.000520803977023651</c:v>
                </c:pt>
                <c:pt idx="419">
                  <c:v>0.000520814444786071</c:v>
                </c:pt>
                <c:pt idx="420">
                  <c:v>0.000520824746832905</c:v>
                </c:pt>
                <c:pt idx="421">
                  <c:v>0.000520834885787605</c:v>
                </c:pt>
                <c:pt idx="422">
                  <c:v>0.000520844864232089</c:v>
                </c:pt>
                <c:pt idx="423">
                  <c:v>0.0005208546847074</c:v>
                </c:pt>
                <c:pt idx="424">
                  <c:v>0.000520864349714357</c:v>
                </c:pt>
                <c:pt idx="425">
                  <c:v>0.000520873861714184</c:v>
                </c:pt>
                <c:pt idx="426">
                  <c:v>0.000520883223129143</c:v>
                </c:pt>
                <c:pt idx="427">
                  <c:v>0.000520892436343151</c:v>
                </c:pt>
                <c:pt idx="428">
                  <c:v>0.000520901503702383</c:v>
                </c:pt>
                <c:pt idx="429">
                  <c:v>0.000520910427515871</c:v>
                </c:pt>
                <c:pt idx="430">
                  <c:v>0.000520919210056094</c:v>
                </c:pt>
                <c:pt idx="431">
                  <c:v>0.000520927853559556</c:v>
                </c:pt>
                <c:pt idx="432">
                  <c:v>0.000520936360227353</c:v>
                </c:pt>
                <c:pt idx="433">
                  <c:v>0.000520944732225736</c:v>
                </c:pt>
                <c:pt idx="434">
                  <c:v>0.000520952971686663</c:v>
                </c:pt>
                <c:pt idx="435">
                  <c:v>0.000520961080708339</c:v>
                </c:pt>
                <c:pt idx="436">
                  <c:v>0.000520969061355753</c:v>
                </c:pt>
                <c:pt idx="437">
                  <c:v>0.000520976915661205</c:v>
                </c:pt>
                <c:pt idx="438">
                  <c:v>0.000520984645624818</c:v>
                </c:pt>
                <c:pt idx="439">
                  <c:v>0.000520992253215054</c:v>
                </c:pt>
                <c:pt idx="440">
                  <c:v>0.000520999740369211</c:v>
                </c:pt>
                <c:pt idx="441">
                  <c:v>0.000521007108993917</c:v>
                </c:pt>
                <c:pt idx="442">
                  <c:v>0.000521014360965617</c:v>
                </c:pt>
                <c:pt idx="443">
                  <c:v>0.000521021498131049</c:v>
                </c:pt>
                <c:pt idx="444">
                  <c:v>0.000521028522307718</c:v>
                </c:pt>
                <c:pt idx="445">
                  <c:v>0.000521035435284351</c:v>
                </c:pt>
                <c:pt idx="446">
                  <c:v>0.000521042238821362</c:v>
                </c:pt>
                <c:pt idx="447">
                  <c:v>0.000521048934651294</c:v>
                </c:pt>
                <c:pt idx="448">
                  <c:v>0.000521055524479263</c:v>
                </c:pt>
                <c:pt idx="449">
                  <c:v>0.000521062009983389</c:v>
                </c:pt>
                <c:pt idx="450">
                  <c:v>0.000521068392815228</c:v>
                </c:pt>
                <c:pt idx="451">
                  <c:v>0.000521074674600189</c:v>
                </c:pt>
                <c:pt idx="452">
                  <c:v>0.00052108085693795</c:v>
                </c:pt>
                <c:pt idx="453">
                  <c:v>0.000521086941402862</c:v>
                </c:pt>
                <c:pt idx="454">
                  <c:v>0.000521092929544357</c:v>
                </c:pt>
                <c:pt idx="455">
                  <c:v>0.000521098822887333</c:v>
                </c:pt>
                <c:pt idx="456">
                  <c:v>0.000521104622932549</c:v>
                </c:pt>
                <c:pt idx="457">
                  <c:v>0.000521110331157007</c:v>
                </c:pt>
                <c:pt idx="458">
                  <c:v>0.000521115949014325</c:v>
                </c:pt>
                <c:pt idx="459">
                  <c:v>0.000521121477935109</c:v>
                </c:pt>
                <c:pt idx="460">
                  <c:v>0.000521126919327317</c:v>
                </c:pt>
                <c:pt idx="461">
                  <c:v>0.000521132274576616</c:v>
                </c:pt>
                <c:pt idx="462">
                  <c:v>0.000521137545046741</c:v>
                </c:pt>
                <c:pt idx="463">
                  <c:v>0.000521142732079832</c:v>
                </c:pt>
                <c:pt idx="464">
                  <c:v>0.000521147836996785</c:v>
                </c:pt>
                <c:pt idx="465">
                  <c:v>0.000521152861097584</c:v>
                </c:pt>
                <c:pt idx="466">
                  <c:v>0.000521157805661634</c:v>
                </c:pt>
                <c:pt idx="467">
                  <c:v>0.000521162671948083</c:v>
                </c:pt>
                <c:pt idx="468">
                  <c:v>0.000521167461196148</c:v>
                </c:pt>
                <c:pt idx="469">
                  <c:v>0.000521172174625426</c:v>
                </c:pt>
                <c:pt idx="470">
                  <c:v>0.000521176813436209</c:v>
                </c:pt>
                <c:pt idx="471">
                  <c:v>0.000521181378809783</c:v>
                </c:pt>
                <c:pt idx="472">
                  <c:v>0.000521185871908738</c:v>
                </c:pt>
                <c:pt idx="473">
                  <c:v>0.000521190293877255</c:v>
                </c:pt>
                <c:pt idx="474">
                  <c:v>0.000521194645841404</c:v>
                </c:pt>
                <c:pt idx="475">
                  <c:v>0.000521198928909426</c:v>
                </c:pt>
                <c:pt idx="476">
                  <c:v>0.000521203144172019</c:v>
                </c:pt>
                <c:pt idx="477">
                  <c:v>0.000521207292702614</c:v>
                </c:pt>
                <c:pt idx="478">
                  <c:v>0.000521211375557647</c:v>
                </c:pt>
                <c:pt idx="479">
                  <c:v>0.000521215393776831</c:v>
                </c:pt>
                <c:pt idx="480">
                  <c:v>0.00052121934838342</c:v>
                </c:pt>
                <c:pt idx="481">
                  <c:v>0.000521223240384466</c:v>
                </c:pt>
                <c:pt idx="482">
                  <c:v>0.00052122707077108</c:v>
                </c:pt>
                <c:pt idx="483">
                  <c:v>0.000521230840518684</c:v>
                </c:pt>
                <c:pt idx="484">
                  <c:v>0.000521234550587256</c:v>
                </c:pt>
                <c:pt idx="485">
                  <c:v>0.000521238201921577</c:v>
                </c:pt>
                <c:pt idx="486">
                  <c:v>0.000521241795451472</c:v>
                </c:pt>
                <c:pt idx="487">
                  <c:v>0.000521245332092045</c:v>
                </c:pt>
                <c:pt idx="488">
                  <c:v>0.000521248812743912</c:v>
                </c:pt>
                <c:pt idx="489">
                  <c:v>0.000521252238293435</c:v>
                </c:pt>
                <c:pt idx="490">
                  <c:v>0.00052125560961294</c:v>
                </c:pt>
                <c:pt idx="491">
                  <c:v>0.000521258927560944</c:v>
                </c:pt>
                <c:pt idx="492">
                  <c:v>0.000521262192982375</c:v>
                </c:pt>
                <c:pt idx="493">
                  <c:v>0.000521265406708783</c:v>
                </c:pt>
                <c:pt idx="494">
                  <c:v>0.000521268569558553</c:v>
                </c:pt>
                <c:pt idx="495">
                  <c:v>0.000521271682337116</c:v>
                </c:pt>
                <c:pt idx="496">
                  <c:v>0.000521274745837152</c:v>
                </c:pt>
                <c:pt idx="497">
                  <c:v>0.000521277760838791</c:v>
                </c:pt>
                <c:pt idx="498">
                  <c:v>0.000521280728109812</c:v>
                </c:pt>
                <c:pt idx="499">
                  <c:v>0.000521283648405842</c:v>
                </c:pt>
                <c:pt idx="500">
                  <c:v>0.000521286522470543</c:v>
                </c:pt>
                <c:pt idx="501">
                  <c:v>0.000521289351035806</c:v>
                </c:pt>
                <c:pt idx="502">
                  <c:v>0.000521292134821934</c:v>
                </c:pt>
                <c:pt idx="503">
                  <c:v>0.000521294874537826</c:v>
                </c:pt>
                <c:pt idx="504">
                  <c:v>0.000521297570881163</c:v>
                </c:pt>
                <c:pt idx="505">
                  <c:v>0.000521300224538575</c:v>
                </c:pt>
                <c:pt idx="506">
                  <c:v>0.000521302836185825</c:v>
                </c:pt>
                <c:pt idx="507">
                  <c:v>0.000521305406487979</c:v>
                </c:pt>
                <c:pt idx="508">
                  <c:v>0.000521307936099571</c:v>
                </c:pt>
                <c:pt idx="509">
                  <c:v>0.000521310425664777</c:v>
                </c:pt>
                <c:pt idx="510">
                  <c:v>0.000521312875817572</c:v>
                </c:pt>
                <c:pt idx="511">
                  <c:v>0.000521315287181895</c:v>
                </c:pt>
                <c:pt idx="512">
                  <c:v>0.000521317660371809</c:v>
                </c:pt>
                <c:pt idx="513">
                  <c:v>0.000521319995991654</c:v>
                </c:pt>
                <c:pt idx="514">
                  <c:v>0.000521322294636204</c:v>
                </c:pt>
                <c:pt idx="515">
                  <c:v>0.000521324556890815</c:v>
                </c:pt>
                <c:pt idx="516">
                  <c:v>0.000521326783331579</c:v>
                </c:pt>
                <c:pt idx="517">
                  <c:v>0.000521328974525467</c:v>
                </c:pt>
                <c:pt idx="518">
                  <c:v>0.000521331131030472</c:v>
                </c:pt>
                <c:pt idx="519">
                  <c:v>0.000521333253395756</c:v>
                </c:pt>
                <c:pt idx="520">
                  <c:v>0.000521335342161787</c:v>
                </c:pt>
                <c:pt idx="521">
                  <c:v>0.000521337397860475</c:v>
                </c:pt>
                <c:pt idx="522">
                  <c:v>0.000521339421015311</c:v>
                </c:pt>
                <c:pt idx="523">
                  <c:v>0.000521341412141499</c:v>
                </c:pt>
                <c:pt idx="524">
                  <c:v>0.000521343371746084</c:v>
                </c:pt>
                <c:pt idx="525">
                  <c:v>0.000521345300328088</c:v>
                </c:pt>
                <c:pt idx="526">
                  <c:v>0.000521347198378629</c:v>
                </c:pt>
                <c:pt idx="527">
                  <c:v>0.000521349066381052</c:v>
                </c:pt>
                <c:pt idx="528">
                  <c:v>0.000521350904811051</c:v>
                </c:pt>
                <c:pt idx="529">
                  <c:v>0.000521352714136788</c:v>
                </c:pt>
                <c:pt idx="530">
                  <c:v>0.000521354494819013</c:v>
                </c:pt>
                <c:pt idx="531">
                  <c:v>0.000521356247311183</c:v>
                </c:pt>
                <c:pt idx="532">
                  <c:v>0.000521357972059577</c:v>
                </c:pt>
                <c:pt idx="533">
                  <c:v>0.000521359669503407</c:v>
                </c:pt>
                <c:pt idx="534">
                  <c:v>0.000521361340074932</c:v>
                </c:pt>
                <c:pt idx="535">
                  <c:v>0.00052136298419957</c:v>
                </c:pt>
                <c:pt idx="536">
                  <c:v>0.000521364602296002</c:v>
                </c:pt>
                <c:pt idx="537">
                  <c:v>0.000521366194776281</c:v>
                </c:pt>
                <c:pt idx="538">
                  <c:v>0.000521367762045939</c:v>
                </c:pt>
                <c:pt idx="539">
                  <c:v>0.000521369304504085</c:v>
                </c:pt>
                <c:pt idx="540">
                  <c:v>0.000521370822543511</c:v>
                </c:pt>
                <c:pt idx="541">
                  <c:v>0.000521372316550792</c:v>
                </c:pt>
                <c:pt idx="542">
                  <c:v>0.000521373786906381</c:v>
                </c:pt>
                <c:pt idx="543">
                  <c:v>0.000521375233984709</c:v>
                </c:pt>
                <c:pt idx="544">
                  <c:v>0.00052137665815428</c:v>
                </c:pt>
                <c:pt idx="545">
                  <c:v>0.000521378059777763</c:v>
                </c:pt>
                <c:pt idx="546">
                  <c:v>0.000521379439212086</c:v>
                </c:pt>
                <c:pt idx="547">
                  <c:v>0.000521380796808526</c:v>
                </c:pt>
                <c:pt idx="548">
                  <c:v>0.0005213821329128</c:v>
                </c:pt>
                <c:pt idx="549">
                  <c:v>0.000521383447865151</c:v>
                </c:pt>
                <c:pt idx="550">
                  <c:v>0.000521384742000437</c:v>
                </c:pt>
                <c:pt idx="551">
                  <c:v>0.000521386015648213</c:v>
                </c:pt>
                <c:pt idx="552">
                  <c:v>0.000521387269132818</c:v>
                </c:pt>
                <c:pt idx="553">
                  <c:v>0.000521388502773456</c:v>
                </c:pt>
                <c:pt idx="554">
                  <c:v>0.000521389716884277</c:v>
                </c:pt>
                <c:pt idx="555">
                  <c:v>0.000521390911774459</c:v>
                </c:pt>
                <c:pt idx="556">
                  <c:v>0.000521392087748284</c:v>
                </c:pt>
                <c:pt idx="557">
                  <c:v>0.000521393245105218</c:v>
                </c:pt>
                <c:pt idx="558">
                  <c:v>0.000521394384139987</c:v>
                </c:pt>
                <c:pt idx="559">
                  <c:v>0.000521395505142648</c:v>
                </c:pt>
                <c:pt idx="560">
                  <c:v>0.00052139660839867</c:v>
                </c:pt>
                <c:pt idx="561">
                  <c:v>0.000521397694188999</c:v>
                </c:pt>
                <c:pt idx="562">
                  <c:v>0.000521398762790136</c:v>
                </c:pt>
                <c:pt idx="563">
                  <c:v>0.000521399814474204</c:v>
                </c:pt>
                <c:pt idx="564">
                  <c:v>0.000521400849509017</c:v>
                </c:pt>
                <c:pt idx="565">
                  <c:v>0.000521401868158151</c:v>
                </c:pt>
                <c:pt idx="566">
                  <c:v>0.000521402870681008</c:v>
                </c:pt>
                <c:pt idx="567">
                  <c:v>0.000521403857332883</c:v>
                </c:pt>
                <c:pt idx="568">
                  <c:v>0.000521404828365032</c:v>
                </c:pt>
                <c:pt idx="569">
                  <c:v>0.000521405784024729</c:v>
                </c:pt>
                <c:pt idx="570">
                  <c:v>0.000521406724555338</c:v>
                </c:pt>
                <c:pt idx="571">
                  <c:v>0.000521407650196368</c:v>
                </c:pt>
                <c:pt idx="572">
                  <c:v>0.000521408561183536</c:v>
                </c:pt>
                <c:pt idx="573">
                  <c:v>0.000521409457748828</c:v>
                </c:pt>
                <c:pt idx="574">
                  <c:v>0.000521410340120557</c:v>
                </c:pt>
                <c:pt idx="575">
                  <c:v>0.000521411208523423</c:v>
                </c:pt>
                <c:pt idx="576">
                  <c:v>0.000521412063178566</c:v>
                </c:pt>
                <c:pt idx="577">
                  <c:v>0.000521412904303628</c:v>
                </c:pt>
                <c:pt idx="578">
                  <c:v>0.000521413732112804</c:v>
                </c:pt>
                <c:pt idx="579">
                  <c:v>0.000521414546816899</c:v>
                </c:pt>
                <c:pt idx="580">
                  <c:v>0.000521415348623379</c:v>
                </c:pt>
                <c:pt idx="581">
                  <c:v>0.000521416137736426</c:v>
                </c:pt>
                <c:pt idx="582">
                  <c:v>0.000521416914356993</c:v>
                </c:pt>
                <c:pt idx="583">
                  <c:v>0.000521417678682846</c:v>
                </c:pt>
                <c:pt idx="584">
                  <c:v>0.000521418430908625</c:v>
                </c:pt>
                <c:pt idx="585">
                  <c:v>0.000521419171225886</c:v>
                </c:pt>
                <c:pt idx="586">
                  <c:v>0.000521419899823154</c:v>
                </c:pt>
                <c:pt idx="587">
                  <c:v>0.000521420616885967</c:v>
                </c:pt>
                <c:pt idx="588">
                  <c:v>0.00052142132259693</c:v>
                </c:pt>
                <c:pt idx="589">
                  <c:v>0.000521422017135753</c:v>
                </c:pt>
                <c:pt idx="590">
                  <c:v>0.000521422700679302</c:v>
                </c:pt>
                <c:pt idx="591">
                  <c:v>0.000521423373401645</c:v>
                </c:pt>
                <c:pt idx="592">
                  <c:v>0.000521424035474092</c:v>
                </c:pt>
                <c:pt idx="593">
                  <c:v>0.000521424687065243</c:v>
                </c:pt>
                <c:pt idx="594">
                  <c:v>0.000521425328341027</c:v>
                </c:pt>
                <c:pt idx="595">
                  <c:v>0.000521425959464747</c:v>
                </c:pt>
                <c:pt idx="596">
                  <c:v>0.000521426580597122</c:v>
                </c:pt>
                <c:pt idx="597">
                  <c:v>0.000521427191896323</c:v>
                </c:pt>
                <c:pt idx="598">
                  <c:v>0.000521427793518022</c:v>
                </c:pt>
                <c:pt idx="599">
                  <c:v>0.000521428385615422</c:v>
                </c:pt>
                <c:pt idx="600">
                  <c:v>0.000521428968339303</c:v>
                </c:pt>
                <c:pt idx="601">
                  <c:v>0.000521429541838058</c:v>
                </c:pt>
                <c:pt idx="602">
                  <c:v>0.000521430106257731</c:v>
                </c:pt>
                <c:pt idx="603">
                  <c:v>0.000521430661742052</c:v>
                </c:pt>
                <c:pt idx="604">
                  <c:v>0.000521431208432477</c:v>
                </c:pt>
                <c:pt idx="605">
                  <c:v>0.000521431746468224</c:v>
                </c:pt>
                <c:pt idx="606">
                  <c:v>0.000521432275986304</c:v>
                </c:pt>
                <c:pt idx="607">
                  <c:v>0.000521432797121561</c:v>
                </c:pt>
                <c:pt idx="608">
                  <c:v>0.000521433310006704</c:v>
                </c:pt>
                <c:pt idx="609">
                  <c:v>0.000521433814772341</c:v>
                </c:pt>
                <c:pt idx="610">
                  <c:v>0.000521434311547012</c:v>
                </c:pt>
                <c:pt idx="611">
                  <c:v>0.000521434800457223</c:v>
                </c:pt>
                <c:pt idx="612">
                  <c:v>0.000521435281627475</c:v>
                </c:pt>
                <c:pt idx="613">
                  <c:v>0.000521435755180302</c:v>
                </c:pt>
                <c:pt idx="614">
                  <c:v>0.000521436221236293</c:v>
                </c:pt>
                <c:pt idx="615">
                  <c:v>0.000521436679914133</c:v>
                </c:pt>
                <c:pt idx="616">
                  <c:v>0.000521437131330624</c:v>
                </c:pt>
                <c:pt idx="617">
                  <c:v>0.000521437575600722</c:v>
                </c:pt>
                <c:pt idx="618">
                  <c:v>0.000521438012837562</c:v>
                </c:pt>
                <c:pt idx="619">
                  <c:v>0.000521438443152487</c:v>
                </c:pt>
                <c:pt idx="620">
                  <c:v>0.000521438866655078</c:v>
                </c:pt>
                <c:pt idx="621">
                  <c:v>0.000521439283453183</c:v>
                </c:pt>
                <c:pt idx="622">
                  <c:v>0.000521439693652938</c:v>
                </c:pt>
                <c:pt idx="623">
                  <c:v>0.000521440097358805</c:v>
                </c:pt>
                <c:pt idx="624">
                  <c:v>0.000521440494673587</c:v>
                </c:pt>
                <c:pt idx="625">
                  <c:v>0.000521440885698462</c:v>
                </c:pt>
                <c:pt idx="626">
                  <c:v>0.000521441270533006</c:v>
                </c:pt>
                <c:pt idx="627">
                  <c:v>0.000521441649275218</c:v>
                </c:pt>
                <c:pt idx="628">
                  <c:v>0.000521442022021546</c:v>
                </c:pt>
                <c:pt idx="629">
                  <c:v>0.000521442388866912</c:v>
                </c:pt>
                <c:pt idx="630">
                  <c:v>0.000521442749904733</c:v>
                </c:pt>
                <c:pt idx="631">
                  <c:v>0.000521443105226949</c:v>
                </c:pt>
                <c:pt idx="632">
                  <c:v>0.000521443454924045</c:v>
                </c:pt>
                <c:pt idx="633">
                  <c:v>0.000521443799085071</c:v>
                </c:pt>
                <c:pt idx="634">
                  <c:v>0.00052144413779767</c:v>
                </c:pt>
                <c:pt idx="635">
                  <c:v>0.000521444471148095</c:v>
                </c:pt>
                <c:pt idx="636">
                  <c:v>0.000521444799221236</c:v>
                </c:pt>
                <c:pt idx="637">
                  <c:v>0.000521445122100637</c:v>
                </c:pt>
                <c:pt idx="638">
                  <c:v>0.000521445439868521</c:v>
                </c:pt>
                <c:pt idx="639">
                  <c:v>0.000521445752605808</c:v>
                </c:pt>
                <c:pt idx="640">
                  <c:v>0.000521446060392138</c:v>
                </c:pt>
                <c:pt idx="641">
                  <c:v>0.00052144636330589</c:v>
                </c:pt>
                <c:pt idx="642">
                  <c:v>0.000521446661424201</c:v>
                </c:pt>
                <c:pt idx="643">
                  <c:v>0.000521446954822989</c:v>
                </c:pt>
                <c:pt idx="644">
                  <c:v>0.000521447243576969</c:v>
                </c:pt>
                <c:pt idx="645">
                  <c:v>0.000521447527759672</c:v>
                </c:pt>
                <c:pt idx="646">
                  <c:v>0.000521447807443467</c:v>
                </c:pt>
                <c:pt idx="647">
                  <c:v>0.000521448082699576</c:v>
                </c:pt>
                <c:pt idx="648">
                  <c:v>0.000521448353598094</c:v>
                </c:pt>
                <c:pt idx="649">
                  <c:v>0.000521448620208007</c:v>
                </c:pt>
                <c:pt idx="650">
                  <c:v>0.000521448882597206</c:v>
                </c:pt>
                <c:pt idx="651">
                  <c:v>0.000521449140832512</c:v>
                </c:pt>
                <c:pt idx="652">
                  <c:v>0.000521449394979683</c:v>
                </c:pt>
                <c:pt idx="653">
                  <c:v>0.00052144964510344</c:v>
                </c:pt>
                <c:pt idx="654">
                  <c:v>0.000521449891267477</c:v>
                </c:pt>
                <c:pt idx="655">
                  <c:v>0.000521450133534481</c:v>
                </c:pt>
                <c:pt idx="656">
                  <c:v>0.000521450371966146</c:v>
                </c:pt>
                <c:pt idx="657">
                  <c:v>0.00052145060662319</c:v>
                </c:pt>
                <c:pt idx="658">
                  <c:v>0.000521450837565367</c:v>
                </c:pt>
                <c:pt idx="659">
                  <c:v>0.00052145106485149</c:v>
                </c:pt>
                <c:pt idx="660">
                  <c:v>0.000521451288539437</c:v>
                </c:pt>
                <c:pt idx="661">
                  <c:v>0.00052145150868617</c:v>
                </c:pt>
                <c:pt idx="662">
                  <c:v>0.000521451725347751</c:v>
                </c:pt>
                <c:pt idx="663">
                  <c:v>0.000521451938579353</c:v>
                </c:pt>
                <c:pt idx="664">
                  <c:v>0.000521452148435277</c:v>
                </c:pt>
                <c:pt idx="665">
                  <c:v>0.000521452354968964</c:v>
                </c:pt>
                <c:pt idx="666">
                  <c:v>0.000521452558233006</c:v>
                </c:pt>
                <c:pt idx="667">
                  <c:v>0.000521452758279168</c:v>
                </c:pt>
                <c:pt idx="668">
                  <c:v>0.00052145295515839</c:v>
                </c:pt>
                <c:pt idx="669">
                  <c:v>0.000521453148920809</c:v>
                </c:pt>
                <c:pt idx="670">
                  <c:v>0.000521453339615766</c:v>
                </c:pt>
                <c:pt idx="671">
                  <c:v>0.000521453527291824</c:v>
                </c:pt>
                <c:pt idx="672">
                  <c:v>0.000521453711996775</c:v>
                </c:pt>
                <c:pt idx="673">
                  <c:v>0.000521453893777654</c:v>
                </c:pt>
                <c:pt idx="674">
                  <c:v>0.000521454072680752</c:v>
                </c:pt>
                <c:pt idx="675">
                  <c:v>0.000521454248751627</c:v>
                </c:pt>
                <c:pt idx="676">
                  <c:v>0.000521454422035117</c:v>
                </c:pt>
                <c:pt idx="677">
                  <c:v>0.000521454592575349</c:v>
                </c:pt>
                <c:pt idx="678">
                  <c:v>0.000521454760415752</c:v>
                </c:pt>
                <c:pt idx="679">
                  <c:v>0.000521454925599066</c:v>
                </c:pt>
                <c:pt idx="680">
                  <c:v>0.000521455088167356</c:v>
                </c:pt>
                <c:pt idx="681">
                  <c:v>0.000521455248162021</c:v>
                </c:pt>
                <c:pt idx="682">
                  <c:v>0.000521455405623803</c:v>
                </c:pt>
                <c:pt idx="683">
                  <c:v>0.000521455560592801</c:v>
                </c:pt>
                <c:pt idx="684">
                  <c:v>0.000521455713108479</c:v>
                </c:pt>
                <c:pt idx="685">
                  <c:v>0.000521455863209675</c:v>
                </c:pt>
                <c:pt idx="686">
                  <c:v>0.000521456010934612</c:v>
                </c:pt>
                <c:pt idx="687">
                  <c:v>0.00052145615632091</c:v>
                </c:pt>
                <c:pt idx="688">
                  <c:v>0.000521456299405591</c:v>
                </c:pt>
                <c:pt idx="689">
                  <c:v>0.000521456440225092</c:v>
                </c:pt>
                <c:pt idx="690">
                  <c:v>0.000521456578815274</c:v>
                </c:pt>
                <c:pt idx="691">
                  <c:v>0.000521456715211429</c:v>
                </c:pt>
                <c:pt idx="692">
                  <c:v>0.000521456849448291</c:v>
                </c:pt>
                <c:pt idx="693">
                  <c:v>0.000521456981560044</c:v>
                </c:pt>
                <c:pt idx="694">
                  <c:v>0.00052145711158033</c:v>
                </c:pt>
                <c:pt idx="695">
                  <c:v>0.000521457239542259</c:v>
                </c:pt>
                <c:pt idx="696">
                  <c:v>0.000521457365478417</c:v>
                </c:pt>
                <c:pt idx="697">
                  <c:v>0.000521457489420875</c:v>
                </c:pt>
                <c:pt idx="698">
                  <c:v>0.000521457611401195</c:v>
                </c:pt>
                <c:pt idx="699">
                  <c:v>0.000521457731450439</c:v>
                </c:pt>
                <c:pt idx="700">
                  <c:v>0.000521457849599179</c:v>
                </c:pt>
                <c:pt idx="701">
                  <c:v>0.000521457965877501</c:v>
                </c:pt>
                <c:pt idx="702">
                  <c:v>0.000521458080315016</c:v>
                </c:pt>
                <c:pt idx="703">
                  <c:v>0.000521458192940866</c:v>
                </c:pt>
                <c:pt idx="704">
                  <c:v>0.000521458303783731</c:v>
                </c:pt>
                <c:pt idx="705">
                  <c:v>0.000521458412871838</c:v>
                </c:pt>
                <c:pt idx="706">
                  <c:v>0.000521458520232967</c:v>
                </c:pt>
                <c:pt idx="707">
                  <c:v>0.000521458625894458</c:v>
                </c:pt>
                <c:pt idx="708">
                  <c:v>0.000521458729883217</c:v>
                </c:pt>
                <c:pt idx="709">
                  <c:v>0.000521458832225725</c:v>
                </c:pt>
                <c:pt idx="710">
                  <c:v>0.000521458932948045</c:v>
                </c:pt>
                <c:pt idx="711">
                  <c:v>0.000521459032075826</c:v>
                </c:pt>
                <c:pt idx="712">
                  <c:v>0.000521459129634311</c:v>
                </c:pt>
                <c:pt idx="713">
                  <c:v>0.000521459225648343</c:v>
                </c:pt>
                <c:pt idx="714">
                  <c:v>0.000521459320142373</c:v>
                </c:pt>
                <c:pt idx="715">
                  <c:v>0.000521459413140464</c:v>
                </c:pt>
                <c:pt idx="716">
                  <c:v>0.000521459504666299</c:v>
                </c:pt>
                <c:pt idx="717">
                  <c:v>0.000521459594743184</c:v>
                </c:pt>
                <c:pt idx="718">
                  <c:v>0.000521459683394058</c:v>
                </c:pt>
                <c:pt idx="719">
                  <c:v>0.000521459770641496</c:v>
                </c:pt>
                <c:pt idx="720">
                  <c:v>0.000521459856507717</c:v>
                </c:pt>
                <c:pt idx="721">
                  <c:v>0.000521459941014586</c:v>
                </c:pt>
                <c:pt idx="722">
                  <c:v>0.000521460024183623</c:v>
                </c:pt>
                <c:pt idx="723">
                  <c:v>0.000521460106036008</c:v>
                </c:pt>
                <c:pt idx="724">
                  <c:v>0.000521460186592584</c:v>
                </c:pt>
                <c:pt idx="725">
                  <c:v>0.000521460265873866</c:v>
                </c:pt>
                <c:pt idx="726">
                  <c:v>0.000521460343900042</c:v>
                </c:pt>
                <c:pt idx="727">
                  <c:v>0.000521460420690982</c:v>
                </c:pt>
                <c:pt idx="728">
                  <c:v>0.000521460496266243</c:v>
                </c:pt>
                <c:pt idx="729">
                  <c:v>0.000521460570645067</c:v>
                </c:pt>
                <c:pt idx="730">
                  <c:v>0.000521460643846398</c:v>
                </c:pt>
                <c:pt idx="731">
                  <c:v>0.000521460715888875</c:v>
                </c:pt>
                <c:pt idx="732">
                  <c:v>0.000521460786790845</c:v>
                </c:pt>
                <c:pt idx="733">
                  <c:v>0.000521460856570363</c:v>
                </c:pt>
                <c:pt idx="734">
                  <c:v>0.000521460925245199</c:v>
                </c:pt>
                <c:pt idx="735">
                  <c:v>0.00052146099283284</c:v>
                </c:pt>
                <c:pt idx="736">
                  <c:v>0.000521461059350498</c:v>
                </c:pt>
                <c:pt idx="737">
                  <c:v>0.000521461124815113</c:v>
                </c:pt>
                <c:pt idx="738">
                  <c:v>0.000521461189243354</c:v>
                </c:pt>
                <c:pt idx="739">
                  <c:v>0.000521461252651629</c:v>
                </c:pt>
                <c:pt idx="740">
                  <c:v>0.000521461315056086</c:v>
                </c:pt>
                <c:pt idx="741">
                  <c:v>0.000521461376472614</c:v>
                </c:pt>
                <c:pt idx="742">
                  <c:v>0.000521461436916855</c:v>
                </c:pt>
                <c:pt idx="743">
                  <c:v>0.000521461496404201</c:v>
                </c:pt>
                <c:pt idx="744">
                  <c:v>0.0005214615549498</c:v>
                </c:pt>
                <c:pt idx="745">
                  <c:v>0.000521461612568561</c:v>
                </c:pt>
                <c:pt idx="746">
                  <c:v>0.000521461669275158</c:v>
                </c:pt>
                <c:pt idx="747">
                  <c:v>0.00052146172508403</c:v>
                </c:pt>
                <c:pt idx="748">
                  <c:v>0.000521461780009389</c:v>
                </c:pt>
                <c:pt idx="749">
                  <c:v>0.000521461834065222</c:v>
                </c:pt>
                <c:pt idx="750">
                  <c:v>0.000521461887265296</c:v>
                </c:pt>
                <c:pt idx="751">
                  <c:v>0.000521461939623156</c:v>
                </c:pt>
                <c:pt idx="752">
                  <c:v>0.000521461991152138</c:v>
                </c:pt>
                <c:pt idx="753">
                  <c:v>0.000521462041865361</c:v>
                </c:pt>
                <c:pt idx="754">
                  <c:v>0.000521462091775742</c:v>
                </c:pt>
                <c:pt idx="755">
                  <c:v>0.000521462140895989</c:v>
                </c:pt>
                <c:pt idx="756">
                  <c:v>0.000521462189238612</c:v>
                </c:pt>
                <c:pt idx="757">
                  <c:v>0.000521462236815921</c:v>
                </c:pt>
                <c:pt idx="758">
                  <c:v>0.000521462283640031</c:v>
                </c:pt>
                <c:pt idx="759">
                  <c:v>0.000521462329722867</c:v>
                </c:pt>
                <c:pt idx="760">
                  <c:v>0.000521462375076163</c:v>
                </c:pt>
                <c:pt idx="761">
                  <c:v>0.000521462419711469</c:v>
                </c:pt>
                <c:pt idx="762">
                  <c:v>0.000521462463640153</c:v>
                </c:pt>
                <c:pt idx="763">
                  <c:v>0.000521462506873399</c:v>
                </c:pt>
                <c:pt idx="764">
                  <c:v>0.000521462549422218</c:v>
                </c:pt>
                <c:pt idx="765">
                  <c:v>0.000521462591297445</c:v>
                </c:pt>
                <c:pt idx="766">
                  <c:v>0.000521462632509743</c:v>
                </c:pt>
                <c:pt idx="767">
                  <c:v>0.000521462673069608</c:v>
                </c:pt>
                <c:pt idx="768">
                  <c:v>0.000521462712987367</c:v>
                </c:pt>
                <c:pt idx="769">
                  <c:v>0.000521462752273188</c:v>
                </c:pt>
                <c:pt idx="770">
                  <c:v>0.000521462790937072</c:v>
                </c:pt>
                <c:pt idx="771">
                  <c:v>0.000521462828988867</c:v>
                </c:pt>
                <c:pt idx="772">
                  <c:v>0.000521462866438263</c:v>
                </c:pt>
                <c:pt idx="773">
                  <c:v>0.000521462903294795</c:v>
                </c:pt>
                <c:pt idx="774">
                  <c:v>0.000521462939567851</c:v>
                </c:pt>
                <c:pt idx="775">
                  <c:v>0.000521462975266666</c:v>
                </c:pt>
                <c:pt idx="776">
                  <c:v>0.000521463010400331</c:v>
                </c:pt>
                <c:pt idx="777">
                  <c:v>0.000521463044977794</c:v>
                </c:pt>
                <c:pt idx="778">
                  <c:v>0.00052146307900786</c:v>
                </c:pt>
                <c:pt idx="779">
                  <c:v>0.000521463112499194</c:v>
                </c:pt>
                <c:pt idx="780">
                  <c:v>0.000521463145460326</c:v>
                </c:pt>
                <c:pt idx="781">
                  <c:v>0.000521463177899648</c:v>
                </c:pt>
                <c:pt idx="782">
                  <c:v>0.000521463209825423</c:v>
                </c:pt>
                <c:pt idx="783">
                  <c:v>0.000521463241245779</c:v>
                </c:pt>
                <c:pt idx="784">
                  <c:v>0.000521463272168718</c:v>
                </c:pt>
                <c:pt idx="785">
                  <c:v>0.000521463302602115</c:v>
                </c:pt>
                <c:pt idx="786">
                  <c:v>0.000521463332553719</c:v>
                </c:pt>
                <c:pt idx="787">
                  <c:v>0.000521463362031158</c:v>
                </c:pt>
                <c:pt idx="788">
                  <c:v>0.000521463391041939</c:v>
                </c:pt>
                <c:pt idx="789">
                  <c:v>0.000521463419593449</c:v>
                </c:pt>
                <c:pt idx="790">
                  <c:v>0.000521463447692958</c:v>
                </c:pt>
                <c:pt idx="791">
                  <c:v>0.000521463475347624</c:v>
                </c:pt>
                <c:pt idx="792">
                  <c:v>0.000521463502564487</c:v>
                </c:pt>
                <c:pt idx="793">
                  <c:v>0.000521463529350478</c:v>
                </c:pt>
                <c:pt idx="794">
                  <c:v>0.00052146355571242</c:v>
                </c:pt>
                <c:pt idx="795">
                  <c:v>0.000521463581657024</c:v>
                </c:pt>
                <c:pt idx="796">
                  <c:v>0.000521463607190899</c:v>
                </c:pt>
                <c:pt idx="797">
                  <c:v>0.000521463632320545</c:v>
                </c:pt>
                <c:pt idx="798">
                  <c:v>0.000521463657052363</c:v>
                </c:pt>
                <c:pt idx="799">
                  <c:v>0.000521463681392651</c:v>
                </c:pt>
                <c:pt idx="800">
                  <c:v>0.000521463705347607</c:v>
                </c:pt>
                <c:pt idx="801">
                  <c:v>0.00052146372892333</c:v>
                </c:pt>
                <c:pt idx="802">
                  <c:v>0.000521463752125826</c:v>
                </c:pt>
                <c:pt idx="803">
                  <c:v>0.000521463774961001</c:v>
                </c:pt>
                <c:pt idx="804">
                  <c:v>0.000521463797434672</c:v>
                </c:pt>
                <c:pt idx="805">
                  <c:v>0.000521463819552562</c:v>
                </c:pt>
                <c:pt idx="806">
                  <c:v>0.000521463841320302</c:v>
                </c:pt>
                <c:pt idx="807">
                  <c:v>0.000521463862743436</c:v>
                </c:pt>
                <c:pt idx="808">
                  <c:v>0.00052146388382742</c:v>
                </c:pt>
                <c:pt idx="809">
                  <c:v>0.000521463904577622</c:v>
                </c:pt>
                <c:pt idx="810">
                  <c:v>0.000521463924999327</c:v>
                </c:pt>
                <c:pt idx="811">
                  <c:v>0.000521463945097735</c:v>
                </c:pt>
                <c:pt idx="812">
                  <c:v>0.000521463964877964</c:v>
                </c:pt>
                <c:pt idx="813">
                  <c:v>0.000521463984345052</c:v>
                </c:pt>
                <c:pt idx="814">
                  <c:v>0.000521464003503955</c:v>
                </c:pt>
                <c:pt idx="815">
                  <c:v>0.000521464022359553</c:v>
                </c:pt>
                <c:pt idx="816">
                  <c:v>0.000521464040916648</c:v>
                </c:pt>
                <c:pt idx="817">
                  <c:v>0.000521464059179964</c:v>
                </c:pt>
                <c:pt idx="818">
                  <c:v>0.000521464077154153</c:v>
                </c:pt>
                <c:pt idx="819">
                  <c:v>0.000521464094843791</c:v>
                </c:pt>
                <c:pt idx="820">
                  <c:v>0.000521464112253384</c:v>
                </c:pt>
                <c:pt idx="821">
                  <c:v>0.000521464129387366</c:v>
                </c:pt>
                <c:pt idx="822">
                  <c:v>0.000521464146250098</c:v>
                </c:pt>
                <c:pt idx="823">
                  <c:v>0.000521464162845876</c:v>
                </c:pt>
                <c:pt idx="824">
                  <c:v>0.000521464179178925</c:v>
                </c:pt>
                <c:pt idx="825">
                  <c:v>0.000521464195253406</c:v>
                </c:pt>
                <c:pt idx="826">
                  <c:v>0.00052146421107341</c:v>
                </c:pt>
                <c:pt idx="827">
                  <c:v>0.000521464226642967</c:v>
                </c:pt>
                <c:pt idx="828">
                  <c:v>0.000521464241966042</c:v>
                </c:pt>
                <c:pt idx="829">
                  <c:v>0.000521464257046537</c:v>
                </c:pt>
                <c:pt idx="830">
                  <c:v>0.000521464271888292</c:v>
                </c:pt>
                <c:pt idx="831">
                  <c:v>0.000521464286495086</c:v>
                </c:pt>
                <c:pt idx="832">
                  <c:v>0.00052146430087064</c:v>
                </c:pt>
                <c:pt idx="833">
                  <c:v>0.000521464315018613</c:v>
                </c:pt>
                <c:pt idx="834">
                  <c:v>0.00052146432894261</c:v>
                </c:pt>
                <c:pt idx="835">
                  <c:v>0.000521464342646175</c:v>
                </c:pt>
                <c:pt idx="836">
                  <c:v>0.000521464356132798</c:v>
                </c:pt>
                <c:pt idx="837">
                  <c:v>0.000521464369405914</c:v>
                </c:pt>
                <c:pt idx="838">
                  <c:v>0.000521464382468903</c:v>
                </c:pt>
                <c:pt idx="839">
                  <c:v>0.000521464395325091</c:v>
                </c:pt>
                <c:pt idx="840">
                  <c:v>0.000521464407977752</c:v>
                </c:pt>
                <c:pt idx="841">
                  <c:v>0.000521464420430109</c:v>
                </c:pt>
                <c:pt idx="842">
                  <c:v>0.000521464432685331</c:v>
                </c:pt>
                <c:pt idx="843">
                  <c:v>0.000521464444746541</c:v>
                </c:pt>
                <c:pt idx="844">
                  <c:v>0.000521464456616809</c:v>
                </c:pt>
                <c:pt idx="845">
                  <c:v>0.000521464468299159</c:v>
                </c:pt>
                <c:pt idx="846">
                  <c:v>0.000521464479796564</c:v>
                </c:pt>
                <c:pt idx="847">
                  <c:v>0.000521464491111954</c:v>
                </c:pt>
                <c:pt idx="848">
                  <c:v>0.000521464502248209</c:v>
                </c:pt>
                <c:pt idx="849">
                  <c:v>0.000521464513208166</c:v>
                </c:pt>
                <c:pt idx="850">
                  <c:v>0.000521464523994616</c:v>
                </c:pt>
                <c:pt idx="851">
                  <c:v>0.000521464534610304</c:v>
                </c:pt>
                <c:pt idx="852">
                  <c:v>0.000521464545057935</c:v>
                </c:pt>
                <c:pt idx="853">
                  <c:v>0.00052146455534017</c:v>
                </c:pt>
                <c:pt idx="854">
                  <c:v>0.000521464565459625</c:v>
                </c:pt>
                <c:pt idx="855">
                  <c:v>0.00052146457541888</c:v>
                </c:pt>
                <c:pt idx="856">
                  <c:v>0.000521464585220469</c:v>
                </c:pt>
                <c:pt idx="857">
                  <c:v>0.000521464594866888</c:v>
                </c:pt>
                <c:pt idx="858">
                  <c:v>0.000521464604360595</c:v>
                </c:pt>
                <c:pt idx="859">
                  <c:v>0.000521464613704006</c:v>
                </c:pt>
                <c:pt idx="860">
                  <c:v>0.000521464622899502</c:v>
                </c:pt>
                <c:pt idx="861">
                  <c:v>0.000521464631949423</c:v>
                </c:pt>
                <c:pt idx="862">
                  <c:v>0.000521464640856074</c:v>
                </c:pt>
                <c:pt idx="863">
                  <c:v>0.000521464649621724</c:v>
                </c:pt>
                <c:pt idx="864">
                  <c:v>0.000521464658248605</c:v>
                </c:pt>
                <c:pt idx="865">
                  <c:v>0.000521464666738913</c:v>
                </c:pt>
                <c:pt idx="866">
                  <c:v>0.000521464675094811</c:v>
                </c:pt>
                <c:pt idx="867">
                  <c:v>0.000521464683318426</c:v>
                </c:pt>
                <c:pt idx="868">
                  <c:v>0.000521464691411852</c:v>
                </c:pt>
                <c:pt idx="869">
                  <c:v>0.000521464699377152</c:v>
                </c:pt>
                <c:pt idx="870">
                  <c:v>0.000521464707216352</c:v>
                </c:pt>
                <c:pt idx="871">
                  <c:v>0.00052146471493145</c:v>
                </c:pt>
                <c:pt idx="872">
                  <c:v>0.000521464722524409</c:v>
                </c:pt>
                <c:pt idx="873">
                  <c:v>0.000521464729997164</c:v>
                </c:pt>
                <c:pt idx="874">
                  <c:v>0.000521464737351618</c:v>
                </c:pt>
                <c:pt idx="875">
                  <c:v>0.000521464744589643</c:v>
                </c:pt>
                <c:pt idx="876">
                  <c:v>0.000521464751713082</c:v>
                </c:pt>
                <c:pt idx="877">
                  <c:v>0.00052146475872375</c:v>
                </c:pt>
                <c:pt idx="878">
                  <c:v>0.000521464765623432</c:v>
                </c:pt>
                <c:pt idx="879">
                  <c:v>0.000521464772413885</c:v>
                </c:pt>
                <c:pt idx="880">
                  <c:v>0.000521464779096838</c:v>
                </c:pt>
                <c:pt idx="881">
                  <c:v>0.000521464785673992</c:v>
                </c:pt>
                <c:pt idx="882">
                  <c:v>0.000521464792147024</c:v>
                </c:pt>
                <c:pt idx="883">
                  <c:v>0.00052146479851758</c:v>
                </c:pt>
                <c:pt idx="884">
                  <c:v>0.000521464804787284</c:v>
                </c:pt>
                <c:pt idx="885">
                  <c:v>0.000521464810957732</c:v>
                </c:pt>
                <c:pt idx="886">
                  <c:v>0.000521464817030496</c:v>
                </c:pt>
                <c:pt idx="887">
                  <c:v>0.000521464823007121</c:v>
                </c:pt>
                <c:pt idx="888">
                  <c:v>0.00052146482888913</c:v>
                </c:pt>
                <c:pt idx="889">
                  <c:v>0.000521464834678021</c:v>
                </c:pt>
                <c:pt idx="890">
                  <c:v>0.000521464840375268</c:v>
                </c:pt>
                <c:pt idx="891">
                  <c:v>0.000521464845982321</c:v>
                </c:pt>
                <c:pt idx="892">
                  <c:v>0.000521464851500609</c:v>
                </c:pt>
                <c:pt idx="893">
                  <c:v>0.000521464856931536</c:v>
                </c:pt>
                <c:pt idx="894">
                  <c:v>0.000521464862276486</c:v>
                </c:pt>
                <c:pt idx="895">
                  <c:v>0.000521464867536821</c:v>
                </c:pt>
                <c:pt idx="896">
                  <c:v>0.000521464872713878</c:v>
                </c:pt>
                <c:pt idx="897">
                  <c:v>0.000521464877808978</c:v>
                </c:pt>
                <c:pt idx="898">
                  <c:v>0.000521464882823416</c:v>
                </c:pt>
                <c:pt idx="899">
                  <c:v>0.000521464887758471</c:v>
                </c:pt>
                <c:pt idx="900">
                  <c:v>0.000521464892615399</c:v>
                </c:pt>
                <c:pt idx="901">
                  <c:v>0.000521464897395436</c:v>
                </c:pt>
                <c:pt idx="902">
                  <c:v>0.000521464902099801</c:v>
                </c:pt>
                <c:pt idx="903">
                  <c:v>0.00052146490672969</c:v>
                </c:pt>
                <c:pt idx="904">
                  <c:v>0.000521464911286284</c:v>
                </c:pt>
                <c:pt idx="905">
                  <c:v>0.000521464915770742</c:v>
                </c:pt>
                <c:pt idx="906">
                  <c:v>0.000521464920184206</c:v>
                </c:pt>
                <c:pt idx="907">
                  <c:v>0.000521464924527801</c:v>
                </c:pt>
                <c:pt idx="908">
                  <c:v>0.000521464928802632</c:v>
                </c:pt>
                <c:pt idx="909">
                  <c:v>0.000521464933009788</c:v>
                </c:pt>
                <c:pt idx="910">
                  <c:v>0.00052146493715034</c:v>
                </c:pt>
                <c:pt idx="911">
                  <c:v>0.000521464941225343</c:v>
                </c:pt>
                <c:pt idx="912">
                  <c:v>0.000521464945235835</c:v>
                </c:pt>
                <c:pt idx="913">
                  <c:v>0.000521464949182836</c:v>
                </c:pt>
                <c:pt idx="914">
                  <c:v>0.000521464953067352</c:v>
                </c:pt>
                <c:pt idx="915">
                  <c:v>0.000521464956890372</c:v>
                </c:pt>
                <c:pt idx="916">
                  <c:v>0.00052146496065287</c:v>
                </c:pt>
                <c:pt idx="917">
                  <c:v>0.000521464964355803</c:v>
                </c:pt>
                <c:pt idx="918">
                  <c:v>0.000521464968000115</c:v>
                </c:pt>
                <c:pt idx="919">
                  <c:v>0.000521464971586734</c:v>
                </c:pt>
                <c:pt idx="920">
                  <c:v>0.000521464975116574</c:v>
                </c:pt>
                <c:pt idx="921">
                  <c:v>0.000521464978590532</c:v>
                </c:pt>
                <c:pt idx="922">
                  <c:v>0.000521464982009493</c:v>
                </c:pt>
                <c:pt idx="923">
                  <c:v>0.000521464985374329</c:v>
                </c:pt>
                <c:pt idx="924">
                  <c:v>0.000521464988685896</c:v>
                </c:pt>
                <c:pt idx="925">
                  <c:v>0.000521464991945038</c:v>
                </c:pt>
                <c:pt idx="926">
                  <c:v>0.000521464995152583</c:v>
                </c:pt>
                <c:pt idx="927">
                  <c:v>0.000521464998309351</c:v>
                </c:pt>
                <c:pt idx="928">
                  <c:v>0.000521465001416143</c:v>
                </c:pt>
                <c:pt idx="929">
                  <c:v>0.000521465004473751</c:v>
                </c:pt>
                <c:pt idx="930">
                  <c:v>0.000521465007482954</c:v>
                </c:pt>
                <c:pt idx="931">
                  <c:v>0.000521465010444519</c:v>
                </c:pt>
                <c:pt idx="932">
                  <c:v>0.000521465013359199</c:v>
                </c:pt>
                <c:pt idx="933">
                  <c:v>0.000521465016227736</c:v>
                </c:pt>
                <c:pt idx="934">
                  <c:v>0.000521465019050862</c:v>
                </c:pt>
                <c:pt idx="935">
                  <c:v>0.000521465021829294</c:v>
                </c:pt>
                <c:pt idx="936">
                  <c:v>0.000521465024563741</c:v>
                </c:pt>
                <c:pt idx="937">
                  <c:v>0.000521465027254899</c:v>
                </c:pt>
                <c:pt idx="938">
                  <c:v>0.000521465029903453</c:v>
                </c:pt>
                <c:pt idx="939">
                  <c:v>0.000521465032510077</c:v>
                </c:pt>
                <c:pt idx="940">
                  <c:v>0.000521465035075437</c:v>
                </c:pt>
                <c:pt idx="941">
                  <c:v>0.000521465037600183</c:v>
                </c:pt>
                <c:pt idx="942">
                  <c:v>0.000521465040084961</c:v>
                </c:pt>
                <c:pt idx="943">
                  <c:v>0.000521465042530401</c:v>
                </c:pt>
                <c:pt idx="944">
                  <c:v>0.000521465044937128</c:v>
                </c:pt>
                <c:pt idx="945">
                  <c:v>0.000521465047305754</c:v>
                </c:pt>
                <c:pt idx="946">
                  <c:v>0.000521465049636882</c:v>
                </c:pt>
                <c:pt idx="947">
                  <c:v>0.000521465051931106</c:v>
                </c:pt>
                <c:pt idx="948">
                  <c:v>0.00052146505418901</c:v>
                </c:pt>
                <c:pt idx="949">
                  <c:v>0.000521465056411169</c:v>
                </c:pt>
                <c:pt idx="950">
                  <c:v>0.000521465058598149</c:v>
                </c:pt>
                <c:pt idx="951">
                  <c:v>0.000521465060750506</c:v>
                </c:pt>
                <c:pt idx="952">
                  <c:v>0.00052146506286879</c:v>
                </c:pt>
                <c:pt idx="953">
                  <c:v>0.000521465064953539</c:v>
                </c:pt>
                <c:pt idx="954">
                  <c:v>0.000521465067005284</c:v>
                </c:pt>
                <c:pt idx="955">
                  <c:v>0.000521465069024548</c:v>
                </c:pt>
                <c:pt idx="956">
                  <c:v>0.000521465071011845</c:v>
                </c:pt>
                <c:pt idx="957">
                  <c:v>0.000521465072967681</c:v>
                </c:pt>
                <c:pt idx="958">
                  <c:v>0.000521465074892554</c:v>
                </c:pt>
                <c:pt idx="959">
                  <c:v>0.000521465076786954</c:v>
                </c:pt>
                <c:pt idx="960">
                  <c:v>0.000521465078651364</c:v>
                </c:pt>
                <c:pt idx="961">
                  <c:v>0.000521465080486259</c:v>
                </c:pt>
                <c:pt idx="962">
                  <c:v>0.000521465082292105</c:v>
                </c:pt>
                <c:pt idx="963">
                  <c:v>0.000521465084069363</c:v>
                </c:pt>
                <c:pt idx="964">
                  <c:v>0.000521465085818484</c:v>
                </c:pt>
                <c:pt idx="965">
                  <c:v>0.000521465087539916</c:v>
                </c:pt>
                <c:pt idx="966">
                  <c:v>0.000521465089234095</c:v>
                </c:pt>
                <c:pt idx="967">
                  <c:v>0.000521465090901454</c:v>
                </c:pt>
                <c:pt idx="968">
                  <c:v>0.000521465092542417</c:v>
                </c:pt>
                <c:pt idx="969">
                  <c:v>0.000521465094157401</c:v>
                </c:pt>
                <c:pt idx="970">
                  <c:v>0.000521465095746819</c:v>
                </c:pt>
                <c:pt idx="971">
                  <c:v>0.000521465097311074</c:v>
                </c:pt>
                <c:pt idx="972">
                  <c:v>0.000521465098850566</c:v>
                </c:pt>
                <c:pt idx="973">
                  <c:v>0.000521465100365686</c:v>
                </c:pt>
                <c:pt idx="974">
                  <c:v>0.00052146510185682</c:v>
                </c:pt>
                <c:pt idx="975">
                  <c:v>0.000521465103324348</c:v>
                </c:pt>
                <c:pt idx="976">
                  <c:v>0.000521465104768643</c:v>
                </c:pt>
                <c:pt idx="977">
                  <c:v>0.000521465106190074</c:v>
                </c:pt>
                <c:pt idx="978">
                  <c:v>0.000521465107589002</c:v>
                </c:pt>
                <c:pt idx="979">
                  <c:v>0.000521465108965783</c:v>
                </c:pt>
                <c:pt idx="980">
                  <c:v>0.000521465110320769</c:v>
                </c:pt>
                <c:pt idx="981">
                  <c:v>0.000521465111654304</c:v>
                </c:pt>
                <c:pt idx="982">
                  <c:v>0.000521465112966727</c:v>
                </c:pt>
                <c:pt idx="983">
                  <c:v>0.000521465114258374</c:v>
                </c:pt>
                <c:pt idx="984">
                  <c:v>0.000521465115529572</c:v>
                </c:pt>
                <c:pt idx="985">
                  <c:v>0.000521465116780646</c:v>
                </c:pt>
                <c:pt idx="986">
                  <c:v>0.000521465118011914</c:v>
                </c:pt>
                <c:pt idx="987">
                  <c:v>0.00052146511922369</c:v>
                </c:pt>
                <c:pt idx="988">
                  <c:v>0.000521465120416282</c:v>
                </c:pt>
                <c:pt idx="989">
                  <c:v>0.000521465121589994</c:v>
                </c:pt>
                <c:pt idx="990">
                  <c:v>0.000521465122745126</c:v>
                </c:pt>
                <c:pt idx="991">
                  <c:v>0.00052146512388197</c:v>
                </c:pt>
                <c:pt idx="992">
                  <c:v>0.000521465125000816</c:v>
                </c:pt>
                <c:pt idx="993">
                  <c:v>0.000521465126101951</c:v>
                </c:pt>
                <c:pt idx="994">
                  <c:v>0.000521465127185653</c:v>
                </c:pt>
                <c:pt idx="995">
                  <c:v>0.000521465128252199</c:v>
                </c:pt>
                <c:pt idx="996">
                  <c:v>0.000521465129301861</c:v>
                </c:pt>
                <c:pt idx="997">
                  <c:v>0.000521465130334905</c:v>
                </c:pt>
                <c:pt idx="998">
                  <c:v>0.000521465131351595</c:v>
                </c:pt>
                <c:pt idx="999">
                  <c:v>0.00052146513235219</c:v>
                </c:pt>
                <c:pt idx="1000">
                  <c:v>0.000521465133336944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Sheet1!$F$9:$F$9</c:f>
              <c:strCache>
                <c:ptCount val="1"/>
                <c:pt idx="0">
                  <c:v>1.00E-06</c:v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Sheet1!$C$12:$C$1012</c:f>
              <c:numCache>
                <c:formatCode>General</c:formatCode>
                <c:ptCount val="10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</c:v>
                </c:pt>
                <c:pt idx="323">
                  <c:v>32.3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</c:v>
                </c:pt>
                <c:pt idx="328">
                  <c:v>32.8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</c:v>
                </c:pt>
                <c:pt idx="333">
                  <c:v>33.3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</c:v>
                </c:pt>
                <c:pt idx="338">
                  <c:v>33.8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</c:v>
                </c:pt>
                <c:pt idx="343">
                  <c:v>34.3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</c:v>
                </c:pt>
                <c:pt idx="348">
                  <c:v>34.8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</c:v>
                </c:pt>
                <c:pt idx="353">
                  <c:v>35.3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</c:v>
                </c:pt>
                <c:pt idx="358">
                  <c:v>35.8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</c:v>
                </c:pt>
                <c:pt idx="363">
                  <c:v>36.3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</c:v>
                </c:pt>
                <c:pt idx="368">
                  <c:v>36.8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</c:v>
                </c:pt>
                <c:pt idx="373">
                  <c:v>37.3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</c:v>
                </c:pt>
                <c:pt idx="378">
                  <c:v>37.8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</c:v>
                </c:pt>
                <c:pt idx="383">
                  <c:v>38.3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</c:v>
                </c:pt>
                <c:pt idx="388">
                  <c:v>38.8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</c:v>
                </c:pt>
                <c:pt idx="393">
                  <c:v>39.3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</c:v>
                </c:pt>
                <c:pt idx="398">
                  <c:v>39.8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</c:v>
                </c:pt>
                <c:pt idx="403">
                  <c:v>40.3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</c:v>
                </c:pt>
                <c:pt idx="408">
                  <c:v>40.8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64.1</c:v>
                </c:pt>
                <c:pt idx="642">
                  <c:v>64.2</c:v>
                </c:pt>
                <c:pt idx="643">
                  <c:v>64.3</c:v>
                </c:pt>
                <c:pt idx="644">
                  <c:v>64.4</c:v>
                </c:pt>
                <c:pt idx="645">
                  <c:v>64.5</c:v>
                </c:pt>
                <c:pt idx="646">
                  <c:v>64.6</c:v>
                </c:pt>
                <c:pt idx="647">
                  <c:v>64.7</c:v>
                </c:pt>
                <c:pt idx="648">
                  <c:v>64.8</c:v>
                </c:pt>
                <c:pt idx="649">
                  <c:v>64.9</c:v>
                </c:pt>
                <c:pt idx="650">
                  <c:v>65</c:v>
                </c:pt>
                <c:pt idx="651">
                  <c:v>65.1</c:v>
                </c:pt>
                <c:pt idx="652">
                  <c:v>65.2</c:v>
                </c:pt>
                <c:pt idx="653">
                  <c:v>65.3</c:v>
                </c:pt>
                <c:pt idx="654">
                  <c:v>65.4</c:v>
                </c:pt>
                <c:pt idx="655">
                  <c:v>65.5</c:v>
                </c:pt>
                <c:pt idx="656">
                  <c:v>65.6</c:v>
                </c:pt>
                <c:pt idx="657">
                  <c:v>65.7</c:v>
                </c:pt>
                <c:pt idx="658">
                  <c:v>65.8</c:v>
                </c:pt>
                <c:pt idx="659">
                  <c:v>65.9</c:v>
                </c:pt>
                <c:pt idx="660">
                  <c:v>66</c:v>
                </c:pt>
                <c:pt idx="661">
                  <c:v>66.1</c:v>
                </c:pt>
                <c:pt idx="662">
                  <c:v>66.2</c:v>
                </c:pt>
                <c:pt idx="663">
                  <c:v>66.3</c:v>
                </c:pt>
                <c:pt idx="664">
                  <c:v>66.4</c:v>
                </c:pt>
                <c:pt idx="665">
                  <c:v>66.5</c:v>
                </c:pt>
                <c:pt idx="666">
                  <c:v>66.6</c:v>
                </c:pt>
                <c:pt idx="667">
                  <c:v>66.7</c:v>
                </c:pt>
                <c:pt idx="668">
                  <c:v>66.8</c:v>
                </c:pt>
                <c:pt idx="669">
                  <c:v>66.9</c:v>
                </c:pt>
                <c:pt idx="670">
                  <c:v>67</c:v>
                </c:pt>
                <c:pt idx="671">
                  <c:v>67.1</c:v>
                </c:pt>
                <c:pt idx="672">
                  <c:v>67.2</c:v>
                </c:pt>
                <c:pt idx="673">
                  <c:v>67.3</c:v>
                </c:pt>
                <c:pt idx="674">
                  <c:v>67.4</c:v>
                </c:pt>
                <c:pt idx="675">
                  <c:v>67.5</c:v>
                </c:pt>
                <c:pt idx="676">
                  <c:v>67.6</c:v>
                </c:pt>
                <c:pt idx="677">
                  <c:v>67.7</c:v>
                </c:pt>
                <c:pt idx="678">
                  <c:v>67.8</c:v>
                </c:pt>
                <c:pt idx="679">
                  <c:v>67.9</c:v>
                </c:pt>
                <c:pt idx="680">
                  <c:v>68</c:v>
                </c:pt>
                <c:pt idx="681">
                  <c:v>68.1</c:v>
                </c:pt>
                <c:pt idx="682">
                  <c:v>68.2</c:v>
                </c:pt>
                <c:pt idx="683">
                  <c:v>68.3</c:v>
                </c:pt>
                <c:pt idx="684">
                  <c:v>68.4</c:v>
                </c:pt>
                <c:pt idx="685">
                  <c:v>68.5</c:v>
                </c:pt>
                <c:pt idx="686">
                  <c:v>68.6</c:v>
                </c:pt>
                <c:pt idx="687">
                  <c:v>68.7</c:v>
                </c:pt>
                <c:pt idx="688">
                  <c:v>68.8</c:v>
                </c:pt>
                <c:pt idx="689">
                  <c:v>68.9</c:v>
                </c:pt>
                <c:pt idx="690">
                  <c:v>69</c:v>
                </c:pt>
                <c:pt idx="691">
                  <c:v>69.1</c:v>
                </c:pt>
                <c:pt idx="692">
                  <c:v>69.2</c:v>
                </c:pt>
                <c:pt idx="693">
                  <c:v>69.3</c:v>
                </c:pt>
                <c:pt idx="694">
                  <c:v>69.4</c:v>
                </c:pt>
                <c:pt idx="695">
                  <c:v>69.5</c:v>
                </c:pt>
                <c:pt idx="696">
                  <c:v>69.6</c:v>
                </c:pt>
                <c:pt idx="697">
                  <c:v>69.7</c:v>
                </c:pt>
                <c:pt idx="698">
                  <c:v>69.8</c:v>
                </c:pt>
                <c:pt idx="699">
                  <c:v>69.9</c:v>
                </c:pt>
                <c:pt idx="700">
                  <c:v>70</c:v>
                </c:pt>
                <c:pt idx="701">
                  <c:v>70.1</c:v>
                </c:pt>
                <c:pt idx="702">
                  <c:v>70.2</c:v>
                </c:pt>
                <c:pt idx="703">
                  <c:v>70.3</c:v>
                </c:pt>
                <c:pt idx="704">
                  <c:v>70.4</c:v>
                </c:pt>
                <c:pt idx="705">
                  <c:v>70.5</c:v>
                </c:pt>
                <c:pt idx="706">
                  <c:v>70.6</c:v>
                </c:pt>
                <c:pt idx="707">
                  <c:v>70.7</c:v>
                </c:pt>
                <c:pt idx="708">
                  <c:v>70.8</c:v>
                </c:pt>
                <c:pt idx="709">
                  <c:v>70.9</c:v>
                </c:pt>
                <c:pt idx="710">
                  <c:v>71</c:v>
                </c:pt>
                <c:pt idx="711">
                  <c:v>71.1</c:v>
                </c:pt>
                <c:pt idx="712">
                  <c:v>71.2</c:v>
                </c:pt>
                <c:pt idx="713">
                  <c:v>71.3</c:v>
                </c:pt>
                <c:pt idx="714">
                  <c:v>71.4</c:v>
                </c:pt>
                <c:pt idx="715">
                  <c:v>71.5</c:v>
                </c:pt>
                <c:pt idx="716">
                  <c:v>71.6</c:v>
                </c:pt>
                <c:pt idx="717">
                  <c:v>71.7</c:v>
                </c:pt>
                <c:pt idx="718">
                  <c:v>71.8</c:v>
                </c:pt>
                <c:pt idx="719">
                  <c:v>71.9</c:v>
                </c:pt>
                <c:pt idx="720">
                  <c:v>72</c:v>
                </c:pt>
                <c:pt idx="721">
                  <c:v>72.1</c:v>
                </c:pt>
                <c:pt idx="722">
                  <c:v>72.2</c:v>
                </c:pt>
                <c:pt idx="723">
                  <c:v>72.3</c:v>
                </c:pt>
                <c:pt idx="724">
                  <c:v>72.4</c:v>
                </c:pt>
                <c:pt idx="725">
                  <c:v>72.5</c:v>
                </c:pt>
                <c:pt idx="726">
                  <c:v>72.6</c:v>
                </c:pt>
                <c:pt idx="727">
                  <c:v>72.7</c:v>
                </c:pt>
                <c:pt idx="728">
                  <c:v>72.8</c:v>
                </c:pt>
                <c:pt idx="729">
                  <c:v>72.9</c:v>
                </c:pt>
                <c:pt idx="730">
                  <c:v>73</c:v>
                </c:pt>
                <c:pt idx="731">
                  <c:v>73.1</c:v>
                </c:pt>
                <c:pt idx="732">
                  <c:v>73.2</c:v>
                </c:pt>
                <c:pt idx="733">
                  <c:v>73.3</c:v>
                </c:pt>
                <c:pt idx="734">
                  <c:v>73.4</c:v>
                </c:pt>
                <c:pt idx="735">
                  <c:v>73.5</c:v>
                </c:pt>
                <c:pt idx="736">
                  <c:v>73.6</c:v>
                </c:pt>
                <c:pt idx="737">
                  <c:v>73.7</c:v>
                </c:pt>
                <c:pt idx="738">
                  <c:v>73.8</c:v>
                </c:pt>
                <c:pt idx="739">
                  <c:v>73.9</c:v>
                </c:pt>
                <c:pt idx="740">
                  <c:v>74</c:v>
                </c:pt>
                <c:pt idx="741">
                  <c:v>74.1</c:v>
                </c:pt>
                <c:pt idx="742">
                  <c:v>74.2</c:v>
                </c:pt>
                <c:pt idx="743">
                  <c:v>74.3</c:v>
                </c:pt>
                <c:pt idx="744">
                  <c:v>74.4</c:v>
                </c:pt>
                <c:pt idx="745">
                  <c:v>74.5</c:v>
                </c:pt>
                <c:pt idx="746">
                  <c:v>74.6</c:v>
                </c:pt>
                <c:pt idx="747">
                  <c:v>74.7</c:v>
                </c:pt>
                <c:pt idx="748">
                  <c:v>74.8</c:v>
                </c:pt>
                <c:pt idx="749">
                  <c:v>74.9</c:v>
                </c:pt>
                <c:pt idx="750">
                  <c:v>75</c:v>
                </c:pt>
                <c:pt idx="751">
                  <c:v>75.1</c:v>
                </c:pt>
                <c:pt idx="752">
                  <c:v>75.2</c:v>
                </c:pt>
                <c:pt idx="753">
                  <c:v>75.3</c:v>
                </c:pt>
                <c:pt idx="754">
                  <c:v>75.4</c:v>
                </c:pt>
                <c:pt idx="755">
                  <c:v>75.5</c:v>
                </c:pt>
                <c:pt idx="756">
                  <c:v>75.6</c:v>
                </c:pt>
                <c:pt idx="757">
                  <c:v>75.7</c:v>
                </c:pt>
                <c:pt idx="758">
                  <c:v>75.8</c:v>
                </c:pt>
                <c:pt idx="759">
                  <c:v>75.9</c:v>
                </c:pt>
                <c:pt idx="760">
                  <c:v>76</c:v>
                </c:pt>
                <c:pt idx="761">
                  <c:v>76.1</c:v>
                </c:pt>
                <c:pt idx="762">
                  <c:v>76.2</c:v>
                </c:pt>
                <c:pt idx="763">
                  <c:v>76.3</c:v>
                </c:pt>
                <c:pt idx="764">
                  <c:v>76.4</c:v>
                </c:pt>
                <c:pt idx="765">
                  <c:v>76.5</c:v>
                </c:pt>
                <c:pt idx="766">
                  <c:v>76.6</c:v>
                </c:pt>
                <c:pt idx="767">
                  <c:v>76.7</c:v>
                </c:pt>
                <c:pt idx="768">
                  <c:v>76.8</c:v>
                </c:pt>
                <c:pt idx="769">
                  <c:v>76.9</c:v>
                </c:pt>
                <c:pt idx="770">
                  <c:v>77</c:v>
                </c:pt>
                <c:pt idx="771">
                  <c:v>77.1</c:v>
                </c:pt>
                <c:pt idx="772">
                  <c:v>77.2</c:v>
                </c:pt>
                <c:pt idx="773">
                  <c:v>77.3</c:v>
                </c:pt>
                <c:pt idx="774">
                  <c:v>77.4</c:v>
                </c:pt>
                <c:pt idx="775">
                  <c:v>77.5</c:v>
                </c:pt>
                <c:pt idx="776">
                  <c:v>77.6</c:v>
                </c:pt>
                <c:pt idx="777">
                  <c:v>77.7</c:v>
                </c:pt>
                <c:pt idx="778">
                  <c:v>77.8</c:v>
                </c:pt>
                <c:pt idx="779">
                  <c:v>77.9</c:v>
                </c:pt>
                <c:pt idx="780">
                  <c:v>78</c:v>
                </c:pt>
                <c:pt idx="781">
                  <c:v>78.1</c:v>
                </c:pt>
                <c:pt idx="782">
                  <c:v>78.2</c:v>
                </c:pt>
                <c:pt idx="783">
                  <c:v>78.3</c:v>
                </c:pt>
                <c:pt idx="784">
                  <c:v>78.4</c:v>
                </c:pt>
                <c:pt idx="785">
                  <c:v>78.5</c:v>
                </c:pt>
                <c:pt idx="786">
                  <c:v>78.6</c:v>
                </c:pt>
                <c:pt idx="787">
                  <c:v>78.7</c:v>
                </c:pt>
                <c:pt idx="788">
                  <c:v>78.8</c:v>
                </c:pt>
                <c:pt idx="789">
                  <c:v>78.9</c:v>
                </c:pt>
                <c:pt idx="790">
                  <c:v>79</c:v>
                </c:pt>
                <c:pt idx="791">
                  <c:v>79.1</c:v>
                </c:pt>
                <c:pt idx="792">
                  <c:v>79.2</c:v>
                </c:pt>
                <c:pt idx="793">
                  <c:v>79.3</c:v>
                </c:pt>
                <c:pt idx="794">
                  <c:v>79.4</c:v>
                </c:pt>
                <c:pt idx="795">
                  <c:v>79.5</c:v>
                </c:pt>
                <c:pt idx="796">
                  <c:v>79.6</c:v>
                </c:pt>
                <c:pt idx="797">
                  <c:v>79.7</c:v>
                </c:pt>
                <c:pt idx="798">
                  <c:v>79.8</c:v>
                </c:pt>
                <c:pt idx="799">
                  <c:v>79.9</c:v>
                </c:pt>
                <c:pt idx="800">
                  <c:v>80</c:v>
                </c:pt>
                <c:pt idx="801">
                  <c:v>80.1</c:v>
                </c:pt>
                <c:pt idx="802">
                  <c:v>80.2</c:v>
                </c:pt>
                <c:pt idx="803">
                  <c:v>80.3</c:v>
                </c:pt>
                <c:pt idx="804">
                  <c:v>80.4</c:v>
                </c:pt>
                <c:pt idx="805">
                  <c:v>80.5</c:v>
                </c:pt>
                <c:pt idx="806">
                  <c:v>80.6</c:v>
                </c:pt>
                <c:pt idx="807">
                  <c:v>80.7</c:v>
                </c:pt>
                <c:pt idx="808">
                  <c:v>80.8</c:v>
                </c:pt>
                <c:pt idx="809">
                  <c:v>80.9</c:v>
                </c:pt>
                <c:pt idx="810">
                  <c:v>81</c:v>
                </c:pt>
                <c:pt idx="811">
                  <c:v>81.1</c:v>
                </c:pt>
                <c:pt idx="812">
                  <c:v>81.2</c:v>
                </c:pt>
                <c:pt idx="813">
                  <c:v>81.3</c:v>
                </c:pt>
                <c:pt idx="814">
                  <c:v>81.4</c:v>
                </c:pt>
                <c:pt idx="815">
                  <c:v>81.5</c:v>
                </c:pt>
                <c:pt idx="816">
                  <c:v>81.6</c:v>
                </c:pt>
                <c:pt idx="817">
                  <c:v>81.7</c:v>
                </c:pt>
                <c:pt idx="818">
                  <c:v>81.8</c:v>
                </c:pt>
                <c:pt idx="819">
                  <c:v>81.9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</c:numCache>
            </c:numRef>
          </c:xVal>
          <c:yVal>
            <c:numRef>
              <c:f>Sheet1!$F$12:$F$1012</c:f>
              <c:numCache>
                <c:formatCode>General</c:formatCode>
                <c:ptCount val="1001"/>
                <c:pt idx="0">
                  <c:v>0</c:v>
                </c:pt>
                <c:pt idx="1">
                  <c:v>5.85103162681579E-006</c:v>
                </c:pt>
                <c:pt idx="2">
                  <c:v>1.16364125228534E-005</c:v>
                </c:pt>
                <c:pt idx="3">
                  <c:v>1.73568793135024E-005</c:v>
                </c:pt>
                <c:pt idx="4">
                  <c:v>2.30131603589442E-005</c:v>
                </c:pt>
                <c:pt idx="5">
                  <c:v>2.86059758468904E-005</c:v>
                </c:pt>
                <c:pt idx="6">
                  <c:v>3.41360378842812E-005</c:v>
                </c:pt>
                <c:pt idx="7">
                  <c:v>3.96040505879547E-005</c:v>
                </c:pt>
                <c:pt idx="8">
                  <c:v>4.50107101742983E-005</c:v>
                </c:pt>
                <c:pt idx="9">
                  <c:v>5.03567050478953E-005</c:v>
                </c:pt>
                <c:pt idx="10">
                  <c:v>5.56427158891758E-005</c:v>
                </c:pt>
                <c:pt idx="11">
                  <c:v>6.08694157410846E-005</c:v>
                </c:pt>
                <c:pt idx="12">
                  <c:v>6.60374700947767E-005</c:v>
                </c:pt>
                <c:pt idx="13">
                  <c:v>7.11475369743512E-005</c:v>
                </c:pt>
                <c:pt idx="14">
                  <c:v>7.62002670206343E-005</c:v>
                </c:pt>
                <c:pt idx="15">
                  <c:v>8.11963035740225E-005</c:v>
                </c:pt>
                <c:pt idx="16">
                  <c:v>8.61362827563957E-005</c:v>
                </c:pt>
                <c:pt idx="17">
                  <c:v>9.10208335521122E-005</c:v>
                </c:pt>
                <c:pt idx="18">
                  <c:v>9.5850577888094E-005</c:v>
                </c:pt>
                <c:pt idx="19">
                  <c:v>0.000100626130713014</c:v>
                </c:pt>
                <c:pt idx="20">
                  <c:v>0.000105348100075593</c:v>
                </c:pt>
                <c:pt idx="21">
                  <c:v>0.000110017087202024</c:v>
                </c:pt>
                <c:pt idx="22">
                  <c:v>0.000114633686572518</c:v>
                </c:pt>
                <c:pt idx="23">
                  <c:v>0.000119198485997001</c:v>
                </c:pt>
                <c:pt idx="24">
                  <c:v>0.000123712066689952</c:v>
                </c:pt>
                <c:pt idx="25">
                  <c:v>0.000128175003344413</c:v>
                </c:pt>
                <c:pt idx="26">
                  <c:v>0.000132587864205155</c:v>
                </c:pt>
                <c:pt idx="27">
                  <c:v>0.000136951211141037</c:v>
                </c:pt>
                <c:pt idx="28">
                  <c:v>0.000141265599716539</c:v>
                </c:pt>
                <c:pt idx="29">
                  <c:v>0.000145531579262504</c:v>
                </c:pt>
                <c:pt idx="30">
                  <c:v>0.00014974969294608</c:v>
                </c:pt>
                <c:pt idx="31">
                  <c:v>0.000153920477839882</c:v>
                </c:pt>
                <c:pt idx="32">
                  <c:v>0.00015804446499037</c:v>
                </c:pt>
                <c:pt idx="33">
                  <c:v>0.000162122179485466</c:v>
                </c:pt>
                <c:pt idx="34">
                  <c:v>0.000166154140521416</c:v>
                </c:pt>
                <c:pt idx="35">
                  <c:v>0.000170140861468888</c:v>
                </c:pt>
                <c:pt idx="36">
                  <c:v>0.000174082849938345</c:v>
                </c:pt>
                <c:pt idx="37">
                  <c:v>0.000177980607844673</c:v>
                </c:pt>
                <c:pt idx="38">
                  <c:v>0.000181834631471089</c:v>
                </c:pt>
                <c:pt idx="39">
                  <c:v>0.000185645411532326</c:v>
                </c:pt>
                <c:pt idx="40">
                  <c:v>0.000189413433237122</c:v>
                </c:pt>
                <c:pt idx="41">
                  <c:v>0.000193139176349989</c:v>
                </c:pt>
                <c:pt idx="42">
                  <c:v>0.000196823115252308</c:v>
                </c:pt>
                <c:pt idx="43">
                  <c:v>0.000200465719002725</c:v>
                </c:pt>
                <c:pt idx="44">
                  <c:v>0.000204067451396875</c:v>
                </c:pt>
                <c:pt idx="45">
                  <c:v>0.000207628771026435</c:v>
                </c:pt>
                <c:pt idx="46">
                  <c:v>0.000211150131337514</c:v>
                </c:pt>
                <c:pt idx="47">
                  <c:v>0.00021463198068839</c:v>
                </c:pt>
                <c:pt idx="48">
                  <c:v>0.000218074762406594</c:v>
                </c:pt>
                <c:pt idx="49">
                  <c:v>0.000221478914845362</c:v>
                </c:pt>
                <c:pt idx="50">
                  <c:v>0.00022484487143944</c:v>
                </c:pt>
                <c:pt idx="51">
                  <c:v>0.000228173060760282</c:v>
                </c:pt>
                <c:pt idx="52">
                  <c:v>0.000231463906570608</c:v>
                </c:pt>
                <c:pt idx="53">
                  <c:v>0.000234717827878367</c:v>
                </c:pt>
                <c:pt idx="54">
                  <c:v>0.000237935238990083</c:v>
                </c:pt>
                <c:pt idx="55">
                  <c:v>0.000241116549563608</c:v>
                </c:pt>
                <c:pt idx="56">
                  <c:v>0.000244262164660283</c:v>
                </c:pt>
                <c:pt idx="57">
                  <c:v>0.000247372484796511</c:v>
                </c:pt>
                <c:pt idx="58">
                  <c:v>0.000250447905994753</c:v>
                </c:pt>
                <c:pt idx="59">
                  <c:v>0.000253488819833953</c:v>
                </c:pt>
                <c:pt idx="60">
                  <c:v>0.000256495613499393</c:v>
                </c:pt>
                <c:pt idx="61">
                  <c:v>0.000259468669831997</c:v>
                </c:pt>
                <c:pt idx="62">
                  <c:v>0.000262408367377068</c:v>
                </c:pt>
                <c:pt idx="63">
                  <c:v>0.000265315080432496</c:v>
                </c:pt>
                <c:pt idx="64">
                  <c:v>0.000268189179096407</c:v>
                </c:pt>
                <c:pt idx="65">
                  <c:v>0.000271031029314293</c:v>
                </c:pt>
                <c:pt idx="66">
                  <c:v>0.000273840992925599</c:v>
                </c:pt>
                <c:pt idx="67">
                  <c:v>0.000276619427709801</c:v>
                </c:pt>
                <c:pt idx="68">
                  <c:v>0.000279366687431956</c:v>
                </c:pt>
                <c:pt idx="69">
                  <c:v>0.000282083121887749</c:v>
                </c:pt>
                <c:pt idx="70">
                  <c:v>0.000284769076948024</c:v>
                </c:pt>
                <c:pt idx="71">
                  <c:v>0.000287424894602832</c:v>
                </c:pt>
                <c:pt idx="72">
                  <c:v>0.000290050913004965</c:v>
                </c:pt>
                <c:pt idx="73">
                  <c:v>0.000292647466513019</c:v>
                </c:pt>
                <c:pt idx="74">
                  <c:v>0.000295214885733963</c:v>
                </c:pt>
                <c:pt idx="75">
                  <c:v>0.000297753497565233</c:v>
                </c:pt>
                <c:pt idx="76">
                  <c:v>0.000300263625236356</c:v>
                </c:pt>
                <c:pt idx="77">
                  <c:v>0.000302745588350103</c:v>
                </c:pt>
                <c:pt idx="78">
                  <c:v>0.000305199702923187</c:v>
                </c:pt>
                <c:pt idx="79">
                  <c:v>0.000307626281426496</c:v>
                </c:pt>
                <c:pt idx="80">
                  <c:v>0.000310025632824878</c:v>
                </c:pt>
                <c:pt idx="81">
                  <c:v>0.000312398062616482</c:v>
                </c:pt>
                <c:pt idx="82">
                  <c:v>0.000314743872871658</c:v>
                </c:pt>
                <c:pt idx="83">
                  <c:v>0.000317063362271411</c:v>
                </c:pt>
                <c:pt idx="84">
                  <c:v>0.000319356826145439</c:v>
                </c:pt>
                <c:pt idx="85">
                  <c:v>0.000321624556509729</c:v>
                </c:pt>
                <c:pt idx="86">
                  <c:v>0.000323866842103742</c:v>
                </c:pt>
                <c:pt idx="87">
                  <c:v>0.000326083968427178</c:v>
                </c:pt>
                <c:pt idx="88">
                  <c:v>0.000328276217776322</c:v>
                </c:pt>
                <c:pt idx="89">
                  <c:v>0.000330443869279992</c:v>
                </c:pt>
                <c:pt idx="90">
                  <c:v>0.000332587198935077</c:v>
                </c:pt>
                <c:pt idx="91">
                  <c:v>0.000334706479641682</c:v>
                </c:pt>
                <c:pt idx="92">
                  <c:v>0.000336801981237869</c:v>
                </c:pt>
                <c:pt idx="93">
                  <c:v>0.000338873970534018</c:v>
                </c:pt>
                <c:pt idx="94">
                  <c:v>0.000340922711346801</c:v>
                </c:pt>
                <c:pt idx="95">
                  <c:v>0.000342948464532766</c:v>
                </c:pt>
                <c:pt idx="96">
                  <c:v>0.000344951488021556</c:v>
                </c:pt>
                <c:pt idx="97">
                  <c:v>0.00034693203684875</c:v>
                </c:pt>
                <c:pt idx="98">
                  <c:v>0.000348890363188332</c:v>
                </c:pt>
                <c:pt idx="99">
                  <c:v>0.0003508267163848</c:v>
                </c:pt>
                <c:pt idx="100">
                  <c:v>0.000352741342984917</c:v>
                </c:pt>
                <c:pt idx="101">
                  <c:v>0.0003546344867691</c:v>
                </c:pt>
                <c:pt idx="102">
                  <c:v>0.000356506388782459</c:v>
                </c:pt>
                <c:pt idx="103">
                  <c:v>0.00035835728736549</c:v>
                </c:pt>
                <c:pt idx="104">
                  <c:v>0.00036018741818442</c:v>
                </c:pt>
                <c:pt idx="105">
                  <c:v>0.000361997014261214</c:v>
                </c:pt>
                <c:pt idx="106">
                  <c:v>0.000363786306003247</c:v>
                </c:pt>
                <c:pt idx="107">
                  <c:v>0.000365555521232635</c:v>
                </c:pt>
                <c:pt idx="108">
                  <c:v>0.000367304885215247</c:v>
                </c:pt>
                <c:pt idx="109">
                  <c:v>0.000369034620689388</c:v>
                </c:pt>
                <c:pt idx="110">
                  <c:v>0.000370744947894155</c:v>
                </c:pt>
                <c:pt idx="111">
                  <c:v>0.000372436084597481</c:v>
                </c:pt>
                <c:pt idx="112">
                  <c:v>0.000374108246123864</c:v>
                </c:pt>
                <c:pt idx="113">
                  <c:v>0.000375761645381781</c:v>
                </c:pt>
                <c:pt idx="114">
                  <c:v>0.000377396492890797</c:v>
                </c:pt>
                <c:pt idx="115">
                  <c:v>0.000379012996808371</c:v>
                </c:pt>
                <c:pt idx="116">
                  <c:v>0.000380611362956358</c:v>
                </c:pt>
                <c:pt idx="117">
                  <c:v>0.000382191794847215</c:v>
                </c:pt>
                <c:pt idx="118">
                  <c:v>0.000383754493709917</c:v>
                </c:pt>
                <c:pt idx="119">
                  <c:v>0.000385299658515573</c:v>
                </c:pt>
                <c:pt idx="120">
                  <c:v>0.000386827486002763</c:v>
                </c:pt>
                <c:pt idx="121">
                  <c:v>0.00038833817070259</c:v>
                </c:pt>
                <c:pt idx="122">
                  <c:v>0.000389831904963443</c:v>
                </c:pt>
                <c:pt idx="123">
                  <c:v>0.000391308878975495</c:v>
                </c:pt>
                <c:pt idx="124">
                  <c:v>0.000392769280794912</c:v>
                </c:pt>
                <c:pt idx="125">
                  <c:v>0.000394213296367802</c:v>
                </c:pt>
                <c:pt idx="126">
                  <c:v>0.000395641109553889</c:v>
                </c:pt>
                <c:pt idx="127">
                  <c:v>0.000397052902149923</c:v>
                </c:pt>
                <c:pt idx="128">
                  <c:v>0.000398448853912827</c:v>
                </c:pt>
                <c:pt idx="129">
                  <c:v>0.000399829142582586</c:v>
                </c:pt>
                <c:pt idx="130">
                  <c:v>0.000401193943904876</c:v>
                </c:pt>
                <c:pt idx="131">
                  <c:v>0.000402543431653443</c:v>
                </c:pt>
                <c:pt idx="132">
                  <c:v>0.000403877777652226</c:v>
                </c:pt>
                <c:pt idx="133">
                  <c:v>0.000405197151797237</c:v>
                </c:pt>
                <c:pt idx="134">
                  <c:v>0.000406501722078193</c:v>
                </c:pt>
                <c:pt idx="135">
                  <c:v>0.000407791654599902</c:v>
                </c:pt>
                <c:pt idx="136">
                  <c:v>0.000409067113603417</c:v>
                </c:pt>
                <c:pt idx="137">
                  <c:v>0.000410328261486945</c:v>
                </c:pt>
                <c:pt idx="138">
                  <c:v>0.000411575258826526</c:v>
                </c:pt>
                <c:pt idx="139">
                  <c:v>0.000412808264396476</c:v>
                </c:pt>
                <c:pt idx="140">
                  <c:v>0.000414027435189607</c:v>
                </c:pt>
                <c:pt idx="141">
                  <c:v>0.000415232926437212</c:v>
                </c:pt>
                <c:pt idx="142">
                  <c:v>0.000416424891628833</c:v>
                </c:pt>
                <c:pt idx="143">
                  <c:v>0.000417603482531801</c:v>
                </c:pt>
                <c:pt idx="144">
                  <c:v>0.000418768849210563</c:v>
                </c:pt>
                <c:pt idx="145">
                  <c:v>0.000419921140045788</c:v>
                </c:pt>
                <c:pt idx="146">
                  <c:v>0.000421060501753257</c:v>
                </c:pt>
                <c:pt idx="147">
                  <c:v>0.000422187079402549</c:v>
                </c:pt>
                <c:pt idx="148">
                  <c:v>0.000423301016435507</c:v>
                </c:pt>
                <c:pt idx="149">
                  <c:v>0.000424402454684504</c:v>
                </c:pt>
                <c:pt idx="150">
                  <c:v>0.0004254915343905</c:v>
                </c:pt>
                <c:pt idx="151">
                  <c:v>0.000426568394220903</c:v>
                </c:pt>
                <c:pt idx="152">
                  <c:v>0.000427633171287219</c:v>
                </c:pt>
                <c:pt idx="153">
                  <c:v>0.000428686001162513</c:v>
                </c:pt>
                <c:pt idx="154">
                  <c:v>0.000429727017898672</c:v>
                </c:pt>
                <c:pt idx="155">
                  <c:v>0.000430756354043467</c:v>
                </c:pt>
                <c:pt idx="156">
                  <c:v>0.00043177414065744</c:v>
                </c:pt>
                <c:pt idx="157">
                  <c:v>0.00043278050733058</c:v>
                </c:pt>
                <c:pt idx="158">
                  <c:v>0.000433775582198833</c:v>
                </c:pt>
                <c:pt idx="159">
                  <c:v>0.000434759491960409</c:v>
                </c:pt>
                <c:pt idx="160">
                  <c:v>0.00043573236189192</c:v>
                </c:pt>
                <c:pt idx="161">
                  <c:v>0.000436694315864327</c:v>
                </c:pt>
                <c:pt idx="162">
                  <c:v>0.000437645476358713</c:v>
                </c:pt>
                <c:pt idx="163">
                  <c:v>0.000438585964481879</c:v>
                </c:pt>
                <c:pt idx="164">
                  <c:v>0.000439515899981761</c:v>
                </c:pt>
                <c:pt idx="165">
                  <c:v>0.000440435401262683</c:v>
                </c:pt>
                <c:pt idx="166">
                  <c:v>0.000441344585400424</c:v>
                </c:pt>
                <c:pt idx="167">
                  <c:v>0.000442243568157134</c:v>
                </c:pt>
                <c:pt idx="168">
                  <c:v>0.000443132463996065</c:v>
                </c:pt>
                <c:pt idx="169">
                  <c:v>0.000444011386096154</c:v>
                </c:pt>
                <c:pt idx="170">
                  <c:v>0.000444880446366423</c:v>
                </c:pt>
                <c:pt idx="171">
                  <c:v>0.000445739755460238</c:v>
                </c:pt>
                <c:pt idx="172">
                  <c:v>0.000446589422789391</c:v>
                </c:pt>
                <c:pt idx="173">
                  <c:v>0.000447429556538035</c:v>
                </c:pt>
                <c:pt idx="174">
                  <c:v>0.000448260263676456</c:v>
                </c:pt>
                <c:pt idx="175">
                  <c:v>0.000449081649974694</c:v>
                </c:pt>
                <c:pt idx="176">
                  <c:v>0.000449893820016009</c:v>
                </c:pt>
                <c:pt idx="177">
                  <c:v>0.000450696877210202</c:v>
                </c:pt>
                <c:pt idx="178">
                  <c:v>0.000451490923806774</c:v>
                </c:pt>
                <c:pt idx="179">
                  <c:v>0.00045227606090795</c:v>
                </c:pt>
                <c:pt idx="180">
                  <c:v>0.000453052388481553</c:v>
                </c:pt>
                <c:pt idx="181">
                  <c:v>0.000453820005373726</c:v>
                </c:pt>
                <c:pt idx="182">
                  <c:v>0.000454579009321527</c:v>
                </c:pt>
                <c:pt idx="183">
                  <c:v>0.000455329496965363</c:v>
                </c:pt>
                <c:pt idx="184">
                  <c:v>0.000456071563861304</c:v>
                </c:pt>
                <c:pt idx="185">
                  <c:v>0.000456805304493244</c:v>
                </c:pt>
                <c:pt idx="186">
                  <c:v>0.000457530812284932</c:v>
                </c:pt>
                <c:pt idx="187">
                  <c:v>0.00045824817961187</c:v>
                </c:pt>
                <c:pt idx="188">
                  <c:v>0.000458957497813073</c:v>
                </c:pt>
                <c:pt idx="189">
                  <c:v>0.000459658857202695</c:v>
                </c:pt>
                <c:pt idx="190">
                  <c:v>0.000460352347081537</c:v>
                </c:pt>
                <c:pt idx="191">
                  <c:v>0.000461038055748409</c:v>
                </c:pt>
                <c:pt idx="192">
                  <c:v>0.000461716070511375</c:v>
                </c:pt>
                <c:pt idx="193">
                  <c:v>0.000462386477698874</c:v>
                </c:pt>
                <c:pt idx="194">
                  <c:v>0.000463049362670705</c:v>
                </c:pt>
                <c:pt idx="195">
                  <c:v>0.000463704809828898</c:v>
                </c:pt>
                <c:pt idx="196">
                  <c:v>0.000464352902628465</c:v>
                </c:pt>
                <c:pt idx="197">
                  <c:v>0.000464993723588018</c:v>
                </c:pt>
                <c:pt idx="198">
                  <c:v>0.000465627354300283</c:v>
                </c:pt>
                <c:pt idx="199">
                  <c:v>0.000466253875442482</c:v>
                </c:pt>
                <c:pt idx="200">
                  <c:v>0.000466873366786612</c:v>
                </c:pt>
                <c:pt idx="201">
                  <c:v>0.000467485907209597</c:v>
                </c:pt>
                <c:pt idx="202">
                  <c:v>0.000468091574703334</c:v>
                </c:pt>
                <c:pt idx="203">
                  <c:v>0.000468690446384622</c:v>
                </c:pt>
                <c:pt idx="204">
                  <c:v>0.000469282598504979</c:v>
                </c:pt>
                <c:pt idx="205">
                  <c:v>0.000469868106460357</c:v>
                </c:pt>
                <c:pt idx="206">
                  <c:v>0.000470447044800733</c:v>
                </c:pt>
                <c:pt idx="207">
                  <c:v>0.000471019487239609</c:v>
                </c:pt>
                <c:pt idx="208">
                  <c:v>0.000471585506663394</c:v>
                </c:pt>
                <c:pt idx="209">
                  <c:v>0.000472145175140683</c:v>
                </c:pt>
                <c:pt idx="210">
                  <c:v>0.000472698563931437</c:v>
                </c:pt>
                <c:pt idx="211">
                  <c:v>0.000473245743496051</c:v>
                </c:pt>
                <c:pt idx="212">
                  <c:v>0.000473786783504331</c:v>
                </c:pt>
                <c:pt idx="213">
                  <c:v>0.000474321752844362</c:v>
                </c:pt>
                <c:pt idx="214">
                  <c:v>0.000474850719631278</c:v>
                </c:pt>
                <c:pt idx="215">
                  <c:v>0.000475373751215937</c:v>
                </c:pt>
                <c:pt idx="216">
                  <c:v>0.000475890914193495</c:v>
                </c:pt>
                <c:pt idx="217">
                  <c:v>0.000476402274411886</c:v>
                </c:pt>
                <c:pt idx="218">
                  <c:v>0.000476907896980206</c:v>
                </c:pt>
                <c:pt idx="219">
                  <c:v>0.000477407846277003</c:v>
                </c:pt>
                <c:pt idx="220">
                  <c:v>0.000477902185958475</c:v>
                </c:pt>
                <c:pt idx="221">
                  <c:v>0.000478390978966571</c:v>
                </c:pt>
                <c:pt idx="222">
                  <c:v>0.000478874287537011</c:v>
                </c:pt>
                <c:pt idx="223">
                  <c:v>0.000479352173207206</c:v>
                </c:pt>
                <c:pt idx="224">
                  <c:v>0.000479824696824096</c:v>
                </c:pt>
                <c:pt idx="225">
                  <c:v>0.000480291918551894</c:v>
                </c:pt>
                <c:pt idx="226">
                  <c:v>0.000480753897879749</c:v>
                </c:pt>
                <c:pt idx="227">
                  <c:v>0.00048121069362932</c:v>
                </c:pt>
                <c:pt idx="228">
                  <c:v>0.000481662363962266</c:v>
                </c:pt>
                <c:pt idx="229">
                  <c:v>0.000482108966387649</c:v>
                </c:pt>
                <c:pt idx="230">
                  <c:v>0.000482550557769261</c:v>
                </c:pt>
                <c:pt idx="231">
                  <c:v>0.000482987194332858</c:v>
                </c:pt>
                <c:pt idx="232">
                  <c:v>0.000483418931673324</c:v>
                </c:pt>
                <c:pt idx="233">
                  <c:v>0.000483845824761749</c:v>
                </c:pt>
                <c:pt idx="234">
                  <c:v>0.000484267927952424</c:v>
                </c:pt>
                <c:pt idx="235">
                  <c:v>0.000484685294989768</c:v>
                </c:pt>
                <c:pt idx="236">
                  <c:v>0.000485097979015166</c:v>
                </c:pt>
                <c:pt idx="237">
                  <c:v>0.000485506032573737</c:v>
                </c:pt>
                <c:pt idx="238">
                  <c:v>0.000485909507621026</c:v>
                </c:pt>
                <c:pt idx="239">
                  <c:v>0.000486308455529617</c:v>
                </c:pt>
                <c:pt idx="240">
                  <c:v>0.000486702927095673</c:v>
                </c:pt>
                <c:pt idx="241">
                  <c:v>0.000487092972545407</c:v>
                </c:pt>
                <c:pt idx="242">
                  <c:v>0.000487478641541475</c:v>
                </c:pt>
                <c:pt idx="243">
                  <c:v>0.000487859983189301</c:v>
                </c:pt>
                <c:pt idx="244">
                  <c:v>0.000488237046043325</c:v>
                </c:pt>
                <c:pt idx="245">
                  <c:v>0.000488609878113191</c:v>
                </c:pt>
                <c:pt idx="246">
                  <c:v>0.000488978526869855</c:v>
                </c:pt>
                <c:pt idx="247">
                  <c:v>0.000489343039251635</c:v>
                </c:pt>
                <c:pt idx="248">
                  <c:v>0.000489703461670179</c:v>
                </c:pt>
                <c:pt idx="249">
                  <c:v>0.000490059840016382</c:v>
                </c:pt>
                <c:pt idx="250">
                  <c:v>0.000490412219666227</c:v>
                </c:pt>
                <c:pt idx="251">
                  <c:v>0.000490760645486559</c:v>
                </c:pt>
                <c:pt idx="252">
                  <c:v>0.000491105161840803</c:v>
                </c:pt>
                <c:pt idx="253">
                  <c:v>0.000491445812594609</c:v>
                </c:pt>
                <c:pt idx="254">
                  <c:v>0.000491782641121437</c:v>
                </c:pt>
                <c:pt idx="255">
                  <c:v>0.000492115690308084</c:v>
                </c:pt>
                <c:pt idx="256">
                  <c:v>0.000492445002560138</c:v>
                </c:pt>
                <c:pt idx="257">
                  <c:v>0.000492770619807383</c:v>
                </c:pt>
                <c:pt idx="258">
                  <c:v>0.000493092583509133</c:v>
                </c:pt>
                <c:pt idx="259">
                  <c:v>0.000493410934659516</c:v>
                </c:pt>
                <c:pt idx="260">
                  <c:v>0.00049372571379269</c:v>
                </c:pt>
                <c:pt idx="261">
                  <c:v>0.000494036960988002</c:v>
                </c:pt>
                <c:pt idx="262">
                  <c:v>0.000494344715875099</c:v>
                </c:pt>
                <c:pt idx="263">
                  <c:v>0.000494649017638963</c:v>
                </c:pt>
                <c:pt idx="264">
                  <c:v>0.000494949905024912</c:v>
                </c:pt>
                <c:pt idx="265">
                  <c:v>0.000495247416343522</c:v>
                </c:pt>
                <c:pt idx="266">
                  <c:v>0.000495541589475514</c:v>
                </c:pt>
                <c:pt idx="267">
                  <c:v>0.000495832461876571</c:v>
                </c:pt>
                <c:pt idx="268">
                  <c:v>0.00049612007058211</c:v>
                </c:pt>
                <c:pt idx="269">
                  <c:v>0.000496404452211999</c:v>
                </c:pt>
                <c:pt idx="270">
                  <c:v>0.000496685642975214</c:v>
                </c:pt>
                <c:pt idx="271">
                  <c:v>0.000496963678674456</c:v>
                </c:pt>
                <c:pt idx="272">
                  <c:v>0.000497238594710705</c:v>
                </c:pt>
                <c:pt idx="273">
                  <c:v>0.000497510426087728</c:v>
                </c:pt>
                <c:pt idx="274">
                  <c:v>0.00049777920741654</c:v>
                </c:pt>
                <c:pt idx="275">
                  <c:v>0.000498044972919806</c:v>
                </c:pt>
                <c:pt idx="276">
                  <c:v>0.000498307756436198</c:v>
                </c:pt>
                <c:pt idx="277">
                  <c:v>0.000498567591424709</c:v>
                </c:pt>
                <c:pt idx="278">
                  <c:v>0.000498824510968907</c:v>
                </c:pt>
                <c:pt idx="279">
                  <c:v>0.000499078547781152</c:v>
                </c:pt>
                <c:pt idx="280">
                  <c:v>0.00049932973420676</c:v>
                </c:pt>
                <c:pt idx="281">
                  <c:v>0.000499578102228117</c:v>
                </c:pt>
                <c:pt idx="282">
                  <c:v>0.000499823683468759</c:v>
                </c:pt>
                <c:pt idx="283">
                  <c:v>0.000500066509197392</c:v>
                </c:pt>
                <c:pt idx="284">
                  <c:v>0.000500306610331875</c:v>
                </c:pt>
                <c:pt idx="285">
                  <c:v>0.00050054401744316</c:v>
                </c:pt>
                <c:pt idx="286">
                  <c:v>0.000500778760759179</c:v>
                </c:pt>
                <c:pt idx="287">
                  <c:v>0.000501010870168697</c:v>
                </c:pt>
                <c:pt idx="288">
                  <c:v>0.000501240375225115</c:v>
                </c:pt>
                <c:pt idx="289">
                  <c:v>0.000501467305150234</c:v>
                </c:pt>
                <c:pt idx="290">
                  <c:v>0.000501691688837976</c:v>
                </c:pt>
                <c:pt idx="291">
                  <c:v>0.000501913554858064</c:v>
                </c:pt>
                <c:pt idx="292">
                  <c:v>0.000502132931459655</c:v>
                </c:pt>
                <c:pt idx="293">
                  <c:v>0.000502349846574943</c:v>
                </c:pt>
                <c:pt idx="294">
                  <c:v>0.000502564327822711</c:v>
                </c:pt>
                <c:pt idx="295">
                  <c:v>0.000502776402511849</c:v>
                </c:pt>
                <c:pt idx="296">
                  <c:v>0.000502986097644832</c:v>
                </c:pt>
                <c:pt idx="297">
                  <c:v>0.000503193439921157</c:v>
                </c:pt>
                <c:pt idx="298">
                  <c:v>0.000503398455740743</c:v>
                </c:pt>
                <c:pt idx="299">
                  <c:v>0.00050360117120729</c:v>
                </c:pt>
                <c:pt idx="300">
                  <c:v>0.000503801612131608</c:v>
                </c:pt>
                <c:pt idx="301">
                  <c:v>0.000503999804034899</c:v>
                </c:pt>
                <c:pt idx="302">
                  <c:v>0.000504195772152008</c:v>
                </c:pt>
                <c:pt idx="303">
                  <c:v>0.000504389541434634</c:v>
                </c:pt>
                <c:pt idx="304">
                  <c:v>0.000504581136554512</c:v>
                </c:pt>
                <c:pt idx="305">
                  <c:v>0.000504770581906547</c:v>
                </c:pt>
                <c:pt idx="306">
                  <c:v>0.000504957901611928</c:v>
                </c:pt>
                <c:pt idx="307">
                  <c:v>0.000505143119521193</c:v>
                </c:pt>
                <c:pt idx="308">
                  <c:v>0.000505326259217268</c:v>
                </c:pt>
                <c:pt idx="309">
                  <c:v>0.000505507344018473</c:v>
                </c:pt>
                <c:pt idx="310">
                  <c:v>0.000505686396981484</c:v>
                </c:pt>
                <c:pt idx="311">
                  <c:v>0.000505863440904274</c:v>
                </c:pt>
                <c:pt idx="312">
                  <c:v>0.000506038498329015</c:v>
                </c:pt>
                <c:pt idx="313">
                  <c:v>0.000506211591544948</c:v>
                </c:pt>
                <c:pt idx="314">
                  <c:v>0.000506382742591218</c:v>
                </c:pt>
                <c:pt idx="315">
                  <c:v>0.000506551973259685</c:v>
                </c:pt>
                <c:pt idx="316">
                  <c:v>0.000506719305097696</c:v>
                </c:pt>
                <c:pt idx="317">
                  <c:v>0.000506884759410827</c:v>
                </c:pt>
                <c:pt idx="318">
                  <c:v>0.0005070483572656</c:v>
                </c:pt>
                <c:pt idx="319">
                  <c:v>0.000507210119492162</c:v>
                </c:pt>
                <c:pt idx="320">
                  <c:v>0.000507370066686938</c:v>
                </c:pt>
                <c:pt idx="321">
                  <c:v>0.000507528219215252</c:v>
                </c:pt>
                <c:pt idx="322">
                  <c:v>0.000507684597213925</c:v>
                </c:pt>
                <c:pt idx="323">
                  <c:v>0.000507839220593832</c:v>
                </c:pt>
                <c:pt idx="324">
                  <c:v>0.000507992109042442</c:v>
                </c:pt>
                <c:pt idx="325">
                  <c:v>0.000508143282026325</c:v>
                </c:pt>
                <c:pt idx="326">
                  <c:v>0.000508292758793625</c:v>
                </c:pt>
                <c:pt idx="327">
                  <c:v>0.000508440558376519</c:v>
                </c:pt>
                <c:pt idx="328">
                  <c:v>0.000508586699593633</c:v>
                </c:pt>
                <c:pt idx="329">
                  <c:v>0.000508731201052443</c:v>
                </c:pt>
                <c:pt idx="330">
                  <c:v>0.00050887408115164</c:v>
                </c:pt>
                <c:pt idx="331">
                  <c:v>0.000509015358083478</c:v>
                </c:pt>
                <c:pt idx="332">
                  <c:v>0.000509155049836084</c:v>
                </c:pt>
                <c:pt idx="333">
                  <c:v>0.000509293174195753</c:v>
                </c:pt>
                <c:pt idx="334">
                  <c:v>0.000509429748749213</c:v>
                </c:pt>
                <c:pt idx="335">
                  <c:v>0.000509564790885859</c:v>
                </c:pt>
                <c:pt idx="336">
                  <c:v>0.000509698317799973</c:v>
                </c:pt>
                <c:pt idx="337">
                  <c:v>0.000509830346492911</c:v>
                </c:pt>
                <c:pt idx="338">
                  <c:v>0.000509960893775265</c:v>
                </c:pt>
                <c:pt idx="339">
                  <c:v>0.000510089976269008</c:v>
                </c:pt>
                <c:pt idx="340">
                  <c:v>0.000510217610409609</c:v>
                </c:pt>
                <c:pt idx="341">
                  <c:v>0.000510343812448123</c:v>
                </c:pt>
                <c:pt idx="342">
                  <c:v>0.000510468598453263</c:v>
                </c:pt>
                <c:pt idx="343">
                  <c:v>0.000510591984313445</c:v>
                </c:pt>
                <c:pt idx="344">
                  <c:v>0.000510713985738813</c:v>
                </c:pt>
                <c:pt idx="345">
                  <c:v>0.000510834618263234</c:v>
                </c:pt>
                <c:pt idx="346">
                  <c:v>0.000510953897246282</c:v>
                </c:pt>
                <c:pt idx="347">
                  <c:v>0.000511071837875189</c:v>
                </c:pt>
                <c:pt idx="348">
                  <c:v>0.000511188455166783</c:v>
                </c:pt>
                <c:pt idx="349">
                  <c:v>0.000511303763969395</c:v>
                </c:pt>
                <c:pt idx="350">
                  <c:v>0.000511417778964753</c:v>
                </c:pt>
                <c:pt idx="351">
                  <c:v>0.000511530514669853</c:v>
                </c:pt>
                <c:pt idx="352">
                  <c:v>0.000511641985438802</c:v>
                </c:pt>
                <c:pt idx="353">
                  <c:v>0.00051175220546465</c:v>
                </c:pt>
                <c:pt idx="354">
                  <c:v>0.000511861188781195</c:v>
                </c:pt>
                <c:pt idx="355">
                  <c:v>0.000511968949264772</c:v>
                </c:pt>
                <c:pt idx="356">
                  <c:v>0.000512075500636016</c:v>
                </c:pt>
                <c:pt idx="357">
                  <c:v>0.000512180856461614</c:v>
                </c:pt>
                <c:pt idx="358">
                  <c:v>0.000512285030156029</c:v>
                </c:pt>
                <c:pt idx="359">
                  <c:v>0.000512388034983207</c:v>
                </c:pt>
                <c:pt idx="360">
                  <c:v>0.000512489884058271</c:v>
                </c:pt>
                <c:pt idx="361">
                  <c:v>0.000512590590349183</c:v>
                </c:pt>
                <c:pt idx="362">
                  <c:v>0.000512690166678405</c:v>
                </c:pt>
                <c:pt idx="363">
                  <c:v>0.000512788625724522</c:v>
                </c:pt>
                <c:pt idx="364">
                  <c:v>0.000512885980023862</c:v>
                </c:pt>
                <c:pt idx="365">
                  <c:v>0.000512982241972092</c:v>
                </c:pt>
                <c:pt idx="366">
                  <c:v>0.000513077423825793</c:v>
                </c:pt>
                <c:pt idx="367">
                  <c:v>0.000513171537704024</c:v>
                </c:pt>
                <c:pt idx="368">
                  <c:v>0.000513264595589863</c:v>
                </c:pt>
                <c:pt idx="369">
                  <c:v>0.000513356609331934</c:v>
                </c:pt>
                <c:pt idx="370">
                  <c:v>0.000513447590645915</c:v>
                </c:pt>
                <c:pt idx="371">
                  <c:v>0.000513537551116029</c:v>
                </c:pt>
                <c:pt idx="372">
                  <c:v>0.000513626502196521</c:v>
                </c:pt>
                <c:pt idx="373">
                  <c:v>0.000513714455213114</c:v>
                </c:pt>
                <c:pt idx="374">
                  <c:v>0.000513801421364452</c:v>
                </c:pt>
                <c:pt idx="375">
                  <c:v>0.000513887411723529</c:v>
                </c:pt>
                <c:pt idx="376">
                  <c:v>0.000513972437239091</c:v>
                </c:pt>
                <c:pt idx="377">
                  <c:v>0.00051405650873704</c:v>
                </c:pt>
                <c:pt idx="378">
                  <c:v>0.000514139636921804</c:v>
                </c:pt>
                <c:pt idx="379">
                  <c:v>0.000514221832377705</c:v>
                </c:pt>
                <c:pt idx="380">
                  <c:v>0.000514303105570304</c:v>
                </c:pt>
                <c:pt idx="381">
                  <c:v>0.000514383466847735</c:v>
                </c:pt>
                <c:pt idx="382">
                  <c:v>0.000514462926442024</c:v>
                </c:pt>
                <c:pt idx="383">
                  <c:v>0.000514541494470385</c:v>
                </c:pt>
                <c:pt idx="384">
                  <c:v>0.000514619180936519</c:v>
                </c:pt>
                <c:pt idx="385">
                  <c:v>0.000514695995731877</c:v>
                </c:pt>
                <c:pt idx="386">
                  <c:v>0.000514771948636928</c:v>
                </c:pt>
                <c:pt idx="387">
                  <c:v>0.000514847049322398</c:v>
                </c:pt>
                <c:pt idx="388">
                  <c:v>0.000514921307350504</c:v>
                </c:pt>
                <c:pt idx="389">
                  <c:v>0.000514994732176173</c:v>
                </c:pt>
                <c:pt idx="390">
                  <c:v>0.000515067333148244</c:v>
                </c:pt>
                <c:pt idx="391">
                  <c:v>0.000515139119510656</c:v>
                </c:pt>
                <c:pt idx="392">
                  <c:v>0.000515210100403632</c:v>
                </c:pt>
                <c:pt idx="393">
                  <c:v>0.000515280284864833</c:v>
                </c:pt>
                <c:pt idx="394">
                  <c:v>0.00051534968183052</c:v>
                </c:pt>
                <c:pt idx="395">
                  <c:v>0.00051541830013668</c:v>
                </c:pt>
                <c:pt idx="396">
                  <c:v>0.000515486148520162</c:v>
                </c:pt>
                <c:pt idx="397">
                  <c:v>0.000515553235619781</c:v>
                </c:pt>
                <c:pt idx="398">
                  <c:v>0.000515619569977423</c:v>
                </c:pt>
                <c:pt idx="399">
                  <c:v>0.00051568516003913</c:v>
                </c:pt>
                <c:pt idx="400">
                  <c:v>0.000515750014156177</c:v>
                </c:pt>
                <c:pt idx="401">
                  <c:v>0.000515814140586133</c:v>
                </c:pt>
                <c:pt idx="402">
                  <c:v>0.000515877547493917</c:v>
                </c:pt>
                <c:pt idx="403">
                  <c:v>0.000515940242952832</c:v>
                </c:pt>
                <c:pt idx="404">
                  <c:v>0.000516002234945597</c:v>
                </c:pt>
                <c:pt idx="405">
                  <c:v>0.000516063531365361</c:v>
                </c:pt>
                <c:pt idx="406">
                  <c:v>0.000516124140016709</c:v>
                </c:pt>
                <c:pt idx="407">
                  <c:v>0.000516184068616656</c:v>
                </c:pt>
                <c:pt idx="408">
                  <c:v>0.000516243324795631</c:v>
                </c:pt>
                <c:pt idx="409">
                  <c:v>0.000516301916098443</c:v>
                </c:pt>
                <c:pt idx="410">
                  <c:v>0.000516359849985248</c:v>
                </c:pt>
                <c:pt idx="411">
                  <c:v>0.000516417133832497</c:v>
                </c:pt>
                <c:pt idx="412">
                  <c:v>0.000516473774933872</c:v>
                </c:pt>
                <c:pt idx="413">
                  <c:v>0.000516529780501219</c:v>
                </c:pt>
                <c:pt idx="414">
                  <c:v>0.000516585157665465</c:v>
                </c:pt>
                <c:pt idx="415">
                  <c:v>0.000516639913477523</c:v>
                </c:pt>
                <c:pt idx="416">
                  <c:v>0.000516694054909193</c:v>
                </c:pt>
                <c:pt idx="417">
                  <c:v>0.000516747588854051</c:v>
                </c:pt>
                <c:pt idx="418">
                  <c:v>0.000516800522128322</c:v>
                </c:pt>
                <c:pt idx="419">
                  <c:v>0.000516852861471751</c:v>
                </c:pt>
                <c:pt idx="420">
                  <c:v>0.000516904613548461</c:v>
                </c:pt>
                <c:pt idx="421">
                  <c:v>0.000516955784947802</c:v>
                </c:pt>
                <c:pt idx="422">
                  <c:v>0.000517006382185187</c:v>
                </c:pt>
                <c:pt idx="423">
                  <c:v>0.000517056411702926</c:v>
                </c:pt>
                <c:pt idx="424">
                  <c:v>0.00051710587987104</c:v>
                </c:pt>
                <c:pt idx="425">
                  <c:v>0.000517154792988081</c:v>
                </c:pt>
                <c:pt idx="426">
                  <c:v>0.000517203157281926</c:v>
                </c:pt>
                <c:pt idx="427">
                  <c:v>0.000517250978910573</c:v>
                </c:pt>
                <c:pt idx="428">
                  <c:v>0.000517298263962926</c:v>
                </c:pt>
                <c:pt idx="429">
                  <c:v>0.000517345018459569</c:v>
                </c:pt>
                <c:pt idx="430">
                  <c:v>0.000517391248353531</c:v>
                </c:pt>
                <c:pt idx="431">
                  <c:v>0.000517436959531049</c:v>
                </c:pt>
                <c:pt idx="432">
                  <c:v>0.000517482157812312</c:v>
                </c:pt>
                <c:pt idx="433">
                  <c:v>0.000517526848952205</c:v>
                </c:pt>
                <c:pt idx="434">
                  <c:v>0.000517571038641041</c:v>
                </c:pt>
                <c:pt idx="435">
                  <c:v>0.000517614732505286</c:v>
                </c:pt>
                <c:pt idx="436">
                  <c:v>0.000517657936108275</c:v>
                </c:pt>
                <c:pt idx="437">
                  <c:v>0.000517700654950918</c:v>
                </c:pt>
                <c:pt idx="438">
                  <c:v>0.000517742894472407</c:v>
                </c:pt>
                <c:pt idx="439">
                  <c:v>0.0005177846600509</c:v>
                </c:pt>
                <c:pt idx="440">
                  <c:v>0.000517825957004213</c:v>
                </c:pt>
                <c:pt idx="441">
                  <c:v>0.000517866790590494</c:v>
                </c:pt>
                <c:pt idx="442">
                  <c:v>0.00051790716600889</c:v>
                </c:pt>
                <c:pt idx="443">
                  <c:v>0.000517947088400215</c:v>
                </c:pt>
                <c:pt idx="444">
                  <c:v>0.0005179865628476</c:v>
                </c:pt>
                <c:pt idx="445">
                  <c:v>0.000518025594377139</c:v>
                </c:pt>
                <c:pt idx="446">
                  <c:v>0.000518064187958535</c:v>
                </c:pt>
                <c:pt idx="447">
                  <c:v>0.000518102348505727</c:v>
                </c:pt>
                <c:pt idx="448">
                  <c:v>0.000518140080877519</c:v>
                </c:pt>
                <c:pt idx="449">
                  <c:v>0.000518177389878196</c:v>
                </c:pt>
                <c:pt idx="450">
                  <c:v>0.000518214280258138</c:v>
                </c:pt>
                <c:pt idx="451">
                  <c:v>0.000518250756714425</c:v>
                </c:pt>
                <c:pt idx="452">
                  <c:v>0.000518286823891431</c:v>
                </c:pt>
                <c:pt idx="453">
                  <c:v>0.000518322486381422</c:v>
                </c:pt>
                <c:pt idx="454">
                  <c:v>0.000518357748725134</c:v>
                </c:pt>
                <c:pt idx="455">
                  <c:v>0.000518392615412357</c:v>
                </c:pt>
                <c:pt idx="456">
                  <c:v>0.000518427090882502</c:v>
                </c:pt>
                <c:pt idx="457">
                  <c:v>0.000518461179525169</c:v>
                </c:pt>
                <c:pt idx="458">
                  <c:v>0.000518494885680704</c:v>
                </c:pt>
                <c:pt idx="459">
                  <c:v>0.000518528213640755</c:v>
                </c:pt>
                <c:pt idx="460">
                  <c:v>0.000518561167648813</c:v>
                </c:pt>
                <c:pt idx="461">
                  <c:v>0.000518593751900759</c:v>
                </c:pt>
                <c:pt idx="462">
                  <c:v>0.000518625970545391</c:v>
                </c:pt>
                <c:pt idx="463">
                  <c:v>0.00051865782768496</c:v>
                </c:pt>
                <c:pt idx="464">
                  <c:v>0.000518689327375683</c:v>
                </c:pt>
                <c:pt idx="465">
                  <c:v>0.00051872047362827</c:v>
                </c:pt>
                <c:pt idx="466">
                  <c:v>0.000518751270408427</c:v>
                </c:pt>
                <c:pt idx="467">
                  <c:v>0.000518781721637363</c:v>
                </c:pt>
                <c:pt idx="468">
                  <c:v>0.00051881183119229</c:v>
                </c:pt>
                <c:pt idx="469">
                  <c:v>0.000518841602906915</c:v>
                </c:pt>
                <c:pt idx="470">
                  <c:v>0.000518871040571933</c:v>
                </c:pt>
                <c:pt idx="471">
                  <c:v>0.000518900147935503</c:v>
                </c:pt>
                <c:pt idx="472">
                  <c:v>0.000518928928703728</c:v>
                </c:pt>
                <c:pt idx="473">
                  <c:v>0.000518957386541129</c:v>
                </c:pt>
                <c:pt idx="474">
                  <c:v>0.000518985525071108</c:v>
                </c:pt>
                <c:pt idx="475">
                  <c:v>0.000519013347876413</c:v>
                </c:pt>
                <c:pt idx="476">
                  <c:v>0.00051904085849959</c:v>
                </c:pt>
                <c:pt idx="477">
                  <c:v>0.000519068060443439</c:v>
                </c:pt>
                <c:pt idx="478">
                  <c:v>0.000519094957171455</c:v>
                </c:pt>
                <c:pt idx="479">
                  <c:v>0.000519121552108271</c:v>
                </c:pt>
                <c:pt idx="480">
                  <c:v>0.000519147848640097</c:v>
                </c:pt>
                <c:pt idx="481">
                  <c:v>0.000519173850115147</c:v>
                </c:pt>
                <c:pt idx="482">
                  <c:v>0.000519199559844065</c:v>
                </c:pt>
                <c:pt idx="483">
                  <c:v>0.000519224981100352</c:v>
                </c:pt>
                <c:pt idx="484">
                  <c:v>0.000519250117120777</c:v>
                </c:pt>
                <c:pt idx="485">
                  <c:v>0.00051927497110579</c:v>
                </c:pt>
                <c:pt idx="486">
                  <c:v>0.000519299546219934</c:v>
                </c:pt>
                <c:pt idx="487">
                  <c:v>0.000519323845592242</c:v>
                </c:pt>
                <c:pt idx="488">
                  <c:v>0.000519347872316638</c:v>
                </c:pt>
                <c:pt idx="489">
                  <c:v>0.000519371629452335</c:v>
                </c:pt>
                <c:pt idx="490">
                  <c:v>0.000519395120024215</c:v>
                </c:pt>
                <c:pt idx="491">
                  <c:v>0.000519418347023222</c:v>
                </c:pt>
                <c:pt idx="492">
                  <c:v>0.000519441313406743</c:v>
                </c:pt>
                <c:pt idx="493">
                  <c:v>0.000519464022098978</c:v>
                </c:pt>
                <c:pt idx="494">
                  <c:v>0.000519486475991318</c:v>
                </c:pt>
                <c:pt idx="495">
                  <c:v>0.000519508677942713</c:v>
                </c:pt>
                <c:pt idx="496">
                  <c:v>0.000519530630780033</c:v>
                </c:pt>
                <c:pt idx="497">
                  <c:v>0.000519552337298429</c:v>
                </c:pt>
                <c:pt idx="498">
                  <c:v>0.00051957380026169</c:v>
                </c:pt>
                <c:pt idx="499">
                  <c:v>0.000519595022402595</c:v>
                </c:pt>
                <c:pt idx="500">
                  <c:v>0.00051961600642326</c:v>
                </c:pt>
                <c:pt idx="501">
                  <c:v>0.000519636754995481</c:v>
                </c:pt>
                <c:pt idx="502">
                  <c:v>0.000519657270761076</c:v>
                </c:pt>
                <c:pt idx="503">
                  <c:v>0.000519677556332221</c:v>
                </c:pt>
                <c:pt idx="504">
                  <c:v>0.000519697614291784</c:v>
                </c:pt>
                <c:pt idx="505">
                  <c:v>0.00051971744719365</c:v>
                </c:pt>
                <c:pt idx="506">
                  <c:v>0.000519737057563049</c:v>
                </c:pt>
                <c:pt idx="507">
                  <c:v>0.000519756447896878</c:v>
                </c:pt>
                <c:pt idx="508">
                  <c:v>0.000519775620664016</c:v>
                </c:pt>
                <c:pt idx="509">
                  <c:v>0.000519794578305642</c:v>
                </c:pt>
                <c:pt idx="510">
                  <c:v>0.000519813323235544</c:v>
                </c:pt>
                <c:pt idx="511">
                  <c:v>0.000519831857840426</c:v>
                </c:pt>
                <c:pt idx="512">
                  <c:v>0.000519850184480211</c:v>
                </c:pt>
                <c:pt idx="513">
                  <c:v>0.000519868305488346</c:v>
                </c:pt>
                <c:pt idx="514">
                  <c:v>0.000519886223172092</c:v>
                </c:pt>
                <c:pt idx="515">
                  <c:v>0.000519903939812824</c:v>
                </c:pt>
                <c:pt idx="516">
                  <c:v>0.000519921457666319</c:v>
                </c:pt>
                <c:pt idx="517">
                  <c:v>0.000519938778963043</c:v>
                </c:pt>
                <c:pt idx="518">
                  <c:v>0.000519955905908435</c:v>
                </c:pt>
                <c:pt idx="519">
                  <c:v>0.00051997284068319</c:v>
                </c:pt>
                <c:pt idx="520">
                  <c:v>0.000519989585443532</c:v>
                </c:pt>
                <c:pt idx="521">
                  <c:v>0.000520006142321493</c:v>
                </c:pt>
                <c:pt idx="522">
                  <c:v>0.000520022513425182</c:v>
                </c:pt>
                <c:pt idx="523">
                  <c:v>0.000520038700839056</c:v>
                </c:pt>
                <c:pt idx="524">
                  <c:v>0.000520054706624181</c:v>
                </c:pt>
                <c:pt idx="525">
                  <c:v>0.0005200705328185</c:v>
                </c:pt>
                <c:pt idx="526">
                  <c:v>0.000520086181437087</c:v>
                </c:pt>
                <c:pt idx="527">
                  <c:v>0.000520101654472407</c:v>
                </c:pt>
                <c:pt idx="528">
                  <c:v>0.00052011695389457</c:v>
                </c:pt>
                <c:pt idx="529">
                  <c:v>0.000520132081651579</c:v>
                </c:pt>
                <c:pt idx="530">
                  <c:v>0.00052014703966958</c:v>
                </c:pt>
                <c:pt idx="531">
                  <c:v>0.000520161829853108</c:v>
                </c:pt>
                <c:pt idx="532">
                  <c:v>0.000520176454085326</c:v>
                </c:pt>
                <c:pt idx="533">
                  <c:v>0.000520190914228271</c:v>
                </c:pt>
                <c:pt idx="534">
                  <c:v>0.000520205212123083</c:v>
                </c:pt>
                <c:pt idx="535">
                  <c:v>0.000520219349590248</c:v>
                </c:pt>
                <c:pt idx="536">
                  <c:v>0.000520233328429821</c:v>
                </c:pt>
                <c:pt idx="537">
                  <c:v>0.000520247150421664</c:v>
                </c:pt>
                <c:pt idx="538">
                  <c:v>0.000520260817325666</c:v>
                </c:pt>
                <c:pt idx="539">
                  <c:v>0.000520274330881968</c:v>
                </c:pt>
                <c:pt idx="540">
                  <c:v>0.00052028769281119</c:v>
                </c:pt>
                <c:pt idx="541">
                  <c:v>0.000520300904814642</c:v>
                </c:pt>
                <c:pt idx="542">
                  <c:v>0.000520313968574547</c:v>
                </c:pt>
                <c:pt idx="543">
                  <c:v>0.000520326885754253</c:v>
                </c:pt>
                <c:pt idx="544">
                  <c:v>0.000520339657998443</c:v>
                </c:pt>
                <c:pt idx="545">
                  <c:v>0.000520352286933346</c:v>
                </c:pt>
                <c:pt idx="546">
                  <c:v>0.000520364774166947</c:v>
                </c:pt>
                <c:pt idx="547">
                  <c:v>0.000520377121289186</c:v>
                </c:pt>
                <c:pt idx="548">
                  <c:v>0.000520389329872163</c:v>
                </c:pt>
                <c:pt idx="549">
                  <c:v>0.000520401401470341</c:v>
                </c:pt>
                <c:pt idx="550">
                  <c:v>0.00052041333762074</c:v>
                </c:pt>
                <c:pt idx="551">
                  <c:v>0.000520425139843133</c:v>
                </c:pt>
                <c:pt idx="552">
                  <c:v>0.000520436809640241</c:v>
                </c:pt>
                <c:pt idx="553">
                  <c:v>0.000520448348497927</c:v>
                </c:pt>
                <c:pt idx="554">
                  <c:v>0.000520459757885377</c:v>
                </c:pt>
                <c:pt idx="555">
                  <c:v>0.000520471039255296</c:v>
                </c:pt>
                <c:pt idx="556">
                  <c:v>0.000520482194044088</c:v>
                </c:pt>
                <c:pt idx="557">
                  <c:v>0.00052049322367204</c:v>
                </c:pt>
                <c:pt idx="558">
                  <c:v>0.000520504129543501</c:v>
                </c:pt>
                <c:pt idx="559">
                  <c:v>0.000520514913047067</c:v>
                </c:pt>
                <c:pt idx="560">
                  <c:v>0.000520525575555749</c:v>
                </c:pt>
                <c:pt idx="561">
                  <c:v>0.000520536118427155</c:v>
                </c:pt>
                <c:pt idx="562">
                  <c:v>0.000520546543003659</c:v>
                </c:pt>
                <c:pt idx="563">
                  <c:v>0.000520556850612573</c:v>
                </c:pt>
                <c:pt idx="564">
                  <c:v>0.000520567042566318</c:v>
                </c:pt>
                <c:pt idx="565">
                  <c:v>0.000520577120162586</c:v>
                </c:pt>
                <c:pt idx="566">
                  <c:v>0.00052058708468451</c:v>
                </c:pt>
                <c:pt idx="567">
                  <c:v>0.000520596937400827</c:v>
                </c:pt>
                <c:pt idx="568">
                  <c:v>0.000520606679566036</c:v>
                </c:pt>
                <c:pt idx="569">
                  <c:v>0.000520616312420562</c:v>
                </c:pt>
                <c:pt idx="570">
                  <c:v>0.000520625837190911</c:v>
                </c:pt>
                <c:pt idx="571">
                  <c:v>0.000520635255089827</c:v>
                </c:pt>
                <c:pt idx="572">
                  <c:v>0.000520644567316447</c:v>
                </c:pt>
                <c:pt idx="573">
                  <c:v>0.000520653775056453</c:v>
                </c:pt>
                <c:pt idx="574">
                  <c:v>0.000520662879482224</c:v>
                </c:pt>
                <c:pt idx="575">
                  <c:v>0.000520671881752982</c:v>
                </c:pt>
                <c:pt idx="576">
                  <c:v>0.000520680783014946</c:v>
                </c:pt>
                <c:pt idx="577">
                  <c:v>0.00052068958440147</c:v>
                </c:pt>
                <c:pt idx="578">
                  <c:v>0.000520698287033195</c:v>
                </c:pt>
                <c:pt idx="579">
                  <c:v>0.000520706892018185</c:v>
                </c:pt>
                <c:pt idx="580">
                  <c:v>0.000520715400452073</c:v>
                </c:pt>
                <c:pt idx="581">
                  <c:v>0.000520723813418197</c:v>
                </c:pt>
                <c:pt idx="582">
                  <c:v>0.000520732131987742</c:v>
                </c:pt>
                <c:pt idx="583">
                  <c:v>0.000520740357219871</c:v>
                </c:pt>
                <c:pt idx="584">
                  <c:v>0.000520748490161865</c:v>
                </c:pt>
                <c:pt idx="585">
                  <c:v>0.000520756531849253</c:v>
                </c:pt>
                <c:pt idx="586">
                  <c:v>0.000520764483305945</c:v>
                </c:pt>
                <c:pt idx="587">
                  <c:v>0.000520772345544364</c:v>
                </c:pt>
                <c:pt idx="588">
                  <c:v>0.00052078011956557</c:v>
                </c:pt>
                <c:pt idx="589">
                  <c:v>0.000520787806359394</c:v>
                </c:pt>
                <c:pt idx="590">
                  <c:v>0.000520795406904559</c:v>
                </c:pt>
                <c:pt idx="591">
                  <c:v>0.000520802922168807</c:v>
                </c:pt>
                <c:pt idx="592">
                  <c:v>0.00052081035310902</c:v>
                </c:pt>
                <c:pt idx="593">
                  <c:v>0.000520817700671347</c:v>
                </c:pt>
                <c:pt idx="594">
                  <c:v>0.000520824965791317</c:v>
                </c:pt>
                <c:pt idx="595">
                  <c:v>0.000520832149393963</c:v>
                </c:pt>
                <c:pt idx="596">
                  <c:v>0.000520839252393941</c:v>
                </c:pt>
                <c:pt idx="597">
                  <c:v>0.000520846275695642</c:v>
                </c:pt>
                <c:pt idx="598">
                  <c:v>0.00052085322019331</c:v>
                </c:pt>
                <c:pt idx="599">
                  <c:v>0.000520860086771156</c:v>
                </c:pt>
                <c:pt idx="600">
                  <c:v>0.000520866876303468</c:v>
                </c:pt>
                <c:pt idx="601">
                  <c:v>0.000520873589654725</c:v>
                </c:pt>
                <c:pt idx="602">
                  <c:v>0.000520880227679708</c:v>
                </c:pt>
                <c:pt idx="603">
                  <c:v>0.000520886791223605</c:v>
                </c:pt>
                <c:pt idx="604">
                  <c:v>0.00052089328112212</c:v>
                </c:pt>
                <c:pt idx="605">
                  <c:v>0.000520899698201583</c:v>
                </c:pt>
                <c:pt idx="606">
                  <c:v>0.00052090604327905</c:v>
                </c:pt>
                <c:pt idx="607">
                  <c:v>0.00052091231716241</c:v>
                </c:pt>
                <c:pt idx="608">
                  <c:v>0.000520918520650487</c:v>
                </c:pt>
                <c:pt idx="609">
                  <c:v>0.000520924654533141</c:v>
                </c:pt>
                <c:pt idx="610">
                  <c:v>0.000520930719591373</c:v>
                </c:pt>
                <c:pt idx="611">
                  <c:v>0.000520936716597416</c:v>
                </c:pt>
                <c:pt idx="612">
                  <c:v>0.000520942646314841</c:v>
                </c:pt>
                <c:pt idx="613">
                  <c:v>0.000520948509498652</c:v>
                </c:pt>
                <c:pt idx="614">
                  <c:v>0.00052095430689538</c:v>
                </c:pt>
                <c:pt idx="615">
                  <c:v>0.000520960039243181</c:v>
                </c:pt>
                <c:pt idx="616">
                  <c:v>0.000520965707271928</c:v>
                </c:pt>
                <c:pt idx="617">
                  <c:v>0.000520971311703303</c:v>
                </c:pt>
                <c:pt idx="618">
                  <c:v>0.000520976853250893</c:v>
                </c:pt>
                <c:pt idx="619">
                  <c:v>0.000520982332620278</c:v>
                </c:pt>
                <c:pt idx="620">
                  <c:v>0.000520987750509118</c:v>
                </c:pt>
                <c:pt idx="621">
                  <c:v>0.00052099310760725</c:v>
                </c:pt>
                <c:pt idx="622">
                  <c:v>0.000520998404596767</c:v>
                </c:pt>
                <c:pt idx="623">
                  <c:v>0.00052100364215211</c:v>
                </c:pt>
                <c:pt idx="624">
                  <c:v>0.000521008820940151</c:v>
                </c:pt>
                <c:pt idx="625">
                  <c:v>0.000521013941620283</c:v>
                </c:pt>
                <c:pt idx="626">
                  <c:v>0.000521019004844497</c:v>
                </c:pt>
                <c:pt idx="627">
                  <c:v>0.00052102401125747</c:v>
                </c:pt>
                <c:pt idx="628">
                  <c:v>0.000521028961496644</c:v>
                </c:pt>
                <c:pt idx="629">
                  <c:v>0.000521033856192311</c:v>
                </c:pt>
                <c:pt idx="630">
                  <c:v>0.000521038695967689</c:v>
                </c:pt>
                <c:pt idx="631">
                  <c:v>0.000521043481439004</c:v>
                </c:pt>
                <c:pt idx="632">
                  <c:v>0.000521048213215567</c:v>
                </c:pt>
                <c:pt idx="633">
                  <c:v>0.000521052891899853</c:v>
                </c:pt>
                <c:pt idx="634">
                  <c:v>0.000521057518087579</c:v>
                </c:pt>
                <c:pt idx="635">
                  <c:v>0.000521062092367773</c:v>
                </c:pt>
                <c:pt idx="636">
                  <c:v>0.000521066615322858</c:v>
                </c:pt>
                <c:pt idx="637">
                  <c:v>0.00052107108752872</c:v>
                </c:pt>
                <c:pt idx="638">
                  <c:v>0.000521075509554785</c:v>
                </c:pt>
                <c:pt idx="639">
                  <c:v>0.000521079881964088</c:v>
                </c:pt>
                <c:pt idx="640">
                  <c:v>0.000521084205313347</c:v>
                </c:pt>
                <c:pt idx="641">
                  <c:v>0.000521088480153035</c:v>
                </c:pt>
                <c:pt idx="642">
                  <c:v>0.000521092707027446</c:v>
                </c:pt>
                <c:pt idx="643">
                  <c:v>0.000521096886474769</c:v>
                </c:pt>
                <c:pt idx="644">
                  <c:v>0.000521101019027153</c:v>
                </c:pt>
                <c:pt idx="645">
                  <c:v>0.000521105105210776</c:v>
                </c:pt>
                <c:pt idx="646">
                  <c:v>0.000521109145545914</c:v>
                </c:pt>
                <c:pt idx="647">
                  <c:v>0.000521113140547003</c:v>
                </c:pt>
                <c:pt idx="648">
                  <c:v>0.000521117090722707</c:v>
                </c:pt>
                <c:pt idx="649">
                  <c:v>0.000521120996575984</c:v>
                </c:pt>
                <c:pt idx="650">
                  <c:v>0.000521124858604149</c:v>
                </c:pt>
                <c:pt idx="651">
                  <c:v>0.000521128677298934</c:v>
                </c:pt>
                <c:pt idx="652">
                  <c:v>0.000521132453146557</c:v>
                </c:pt>
                <c:pt idx="653">
                  <c:v>0.000521136186627778</c:v>
                </c:pt>
                <c:pt idx="654">
                  <c:v>0.000521139878217965</c:v>
                </c:pt>
                <c:pt idx="655">
                  <c:v>0.000521143528387149</c:v>
                </c:pt>
                <c:pt idx="656">
                  <c:v>0.00052114713760009</c:v>
                </c:pt>
                <c:pt idx="657">
                  <c:v>0.000521150706316332</c:v>
                </c:pt>
                <c:pt idx="658">
                  <c:v>0.000521154234990262</c:v>
                </c:pt>
                <c:pt idx="659">
                  <c:v>0.000521157724071171</c:v>
                </c:pt>
                <c:pt idx="660">
                  <c:v>0.000521161174003307</c:v>
                </c:pt>
                <c:pt idx="661">
                  <c:v>0.000521164585225932</c:v>
                </c:pt>
                <c:pt idx="662">
                  <c:v>0.000521167958173383</c:v>
                </c:pt>
                <c:pt idx="663">
                  <c:v>0.000521171293275121</c:v>
                </c:pt>
                <c:pt idx="664">
                  <c:v>0.000521174590955788</c:v>
                </c:pt>
                <c:pt idx="665">
                  <c:v>0.000521177851635264</c:v>
                </c:pt>
                <c:pt idx="666">
                  <c:v>0.000521181075728714</c:v>
                </c:pt>
                <c:pt idx="667">
                  <c:v>0.000521184263646647</c:v>
                </c:pt>
                <c:pt idx="668">
                  <c:v>0.000521187415794967</c:v>
                </c:pt>
                <c:pt idx="669">
                  <c:v>0.000521190532575021</c:v>
                </c:pt>
                <c:pt idx="670">
                  <c:v>0.000521193614383654</c:v>
                </c:pt>
                <c:pt idx="671">
                  <c:v>0.000521196661613259</c:v>
                </c:pt>
                <c:pt idx="672">
                  <c:v>0.000521199674651825</c:v>
                </c:pt>
                <c:pt idx="673">
                  <c:v>0.000521202653882988</c:v>
                </c:pt>
                <c:pt idx="674">
                  <c:v>0.00052120559968608</c:v>
                </c:pt>
                <c:pt idx="675">
                  <c:v>0.000521208512436175</c:v>
                </c:pt>
                <c:pt idx="676">
                  <c:v>0.000521211392504142</c:v>
                </c:pt>
                <c:pt idx="677">
                  <c:v>0.000521214240256684</c:v>
                </c:pt>
                <c:pt idx="678">
                  <c:v>0.000521217056056394</c:v>
                </c:pt>
                <c:pt idx="679">
                  <c:v>0.000521219840261793</c:v>
                </c:pt>
                <c:pt idx="680">
                  <c:v>0.000521222593227382</c:v>
                </c:pt>
                <c:pt idx="681">
                  <c:v>0.000521225315303682</c:v>
                </c:pt>
                <c:pt idx="682">
                  <c:v>0.000521228006837284</c:v>
                </c:pt>
                <c:pt idx="683">
                  <c:v>0.000521230668170886</c:v>
                </c:pt>
                <c:pt idx="684">
                  <c:v>0.000521233299643346</c:v>
                </c:pt>
                <c:pt idx="685">
                  <c:v>0.000521235901589714</c:v>
                </c:pt>
                <c:pt idx="686">
                  <c:v>0.000521238474341285</c:v>
                </c:pt>
                <c:pt idx="687">
                  <c:v>0.000521241018225636</c:v>
                </c:pt>
                <c:pt idx="688">
                  <c:v>0.000521243533566667</c:v>
                </c:pt>
                <c:pt idx="689">
                  <c:v>0.000521246020684645</c:v>
                </c:pt>
                <c:pt idx="690">
                  <c:v>0.000521248479896243</c:v>
                </c:pt>
                <c:pt idx="691">
                  <c:v>0.00052125091151458</c:v>
                </c:pt>
                <c:pt idx="692">
                  <c:v>0.000521253315849264</c:v>
                </c:pt>
                <c:pt idx="693">
                  <c:v>0.000521255693206427</c:v>
                </c:pt>
                <c:pt idx="694">
                  <c:v>0.000521258043888766</c:v>
                </c:pt>
                <c:pt idx="695">
                  <c:v>0.000521260368195583</c:v>
                </c:pt>
                <c:pt idx="696">
                  <c:v>0.000521262666422822</c:v>
                </c:pt>
                <c:pt idx="697">
                  <c:v>0.000521264938863104</c:v>
                </c:pt>
                <c:pt idx="698">
                  <c:v>0.000521267185805769</c:v>
                </c:pt>
                <c:pt idx="699">
                  <c:v>0.000521269407536909</c:v>
                </c:pt>
                <c:pt idx="700">
                  <c:v>0.000521271604339407</c:v>
                </c:pt>
                <c:pt idx="701">
                  <c:v>0.000521273776492971</c:v>
                </c:pt>
                <c:pt idx="702">
                  <c:v>0.000521275924274172</c:v>
                </c:pt>
                <c:pt idx="703">
                  <c:v>0.000521278047956477</c:v>
                </c:pt>
                <c:pt idx="704">
                  <c:v>0.000521280147810284</c:v>
                </c:pt>
                <c:pt idx="705">
                  <c:v>0.000521282224102957</c:v>
                </c:pt>
                <c:pt idx="706">
                  <c:v>0.000521284277098861</c:v>
                </c:pt>
                <c:pt idx="707">
                  <c:v>0.000521286307059395</c:v>
                </c:pt>
                <c:pt idx="708">
                  <c:v>0.000521288314243024</c:v>
                </c:pt>
                <c:pt idx="709">
                  <c:v>0.000521290298905313</c:v>
                </c:pt>
                <c:pt idx="710">
                  <c:v>0.00052129226129896</c:v>
                </c:pt>
                <c:pt idx="711">
                  <c:v>0.000521294201673826</c:v>
                </c:pt>
                <c:pt idx="712">
                  <c:v>0.000521296120276972</c:v>
                </c:pt>
                <c:pt idx="713">
                  <c:v>0.000521298017352684</c:v>
                </c:pt>
                <c:pt idx="714">
                  <c:v>0.000521299893142507</c:v>
                </c:pt>
                <c:pt idx="715">
                  <c:v>0.000521301747885277</c:v>
                </c:pt>
                <c:pt idx="716">
                  <c:v>0.00052130358181715</c:v>
                </c:pt>
                <c:pt idx="717">
                  <c:v>0.000521305395171632</c:v>
                </c:pt>
                <c:pt idx="718">
                  <c:v>0.000521307188179608</c:v>
                </c:pt>
                <c:pt idx="719">
                  <c:v>0.000521308961069374</c:v>
                </c:pt>
                <c:pt idx="720">
                  <c:v>0.000521310714066663</c:v>
                </c:pt>
                <c:pt idx="721">
                  <c:v>0.000521312447394677</c:v>
                </c:pt>
                <c:pt idx="722">
                  <c:v>0.000521314161274112</c:v>
                </c:pt>
                <c:pt idx="723">
                  <c:v>0.000521315855923189</c:v>
                </c:pt>
                <c:pt idx="724">
                  <c:v>0.000521317531557678</c:v>
                </c:pt>
                <c:pt idx="725">
                  <c:v>0.00052131918839093</c:v>
                </c:pt>
                <c:pt idx="726">
                  <c:v>0.000521320826633904</c:v>
                </c:pt>
                <c:pt idx="727">
                  <c:v>0.000521322446495187</c:v>
                </c:pt>
                <c:pt idx="728">
                  <c:v>0.00052132404818103</c:v>
                </c:pt>
                <c:pt idx="729">
                  <c:v>0.000521325631895367</c:v>
                </c:pt>
                <c:pt idx="730">
                  <c:v>0.000521327197839847</c:v>
                </c:pt>
                <c:pt idx="731">
                  <c:v>0.000521328746213852</c:v>
                </c:pt>
                <c:pt idx="732">
                  <c:v>0.00052133027721453</c:v>
                </c:pt>
                <c:pt idx="733">
                  <c:v>0.000521331791036816</c:v>
                </c:pt>
                <c:pt idx="734">
                  <c:v>0.000521333287873459</c:v>
                </c:pt>
                <c:pt idx="735">
                  <c:v>0.000521334767915043</c:v>
                </c:pt>
                <c:pt idx="736">
                  <c:v>0.000521336231350015</c:v>
                </c:pt>
                <c:pt idx="737">
                  <c:v>0.000521337678364708</c:v>
                </c:pt>
                <c:pt idx="738">
                  <c:v>0.000521339109143362</c:v>
                </c:pt>
                <c:pt idx="739">
                  <c:v>0.000521340523868153</c:v>
                </c:pt>
                <c:pt idx="740">
                  <c:v>0.00052134192271921</c:v>
                </c:pt>
                <c:pt idx="741">
                  <c:v>0.000521343305874643</c:v>
                </c:pt>
                <c:pt idx="742">
                  <c:v>0.000521344673510562</c:v>
                </c:pt>
                <c:pt idx="743">
                  <c:v>0.000521346025801103</c:v>
                </c:pt>
                <c:pt idx="744">
                  <c:v>0.000521347362918445</c:v>
                </c:pt>
                <c:pt idx="745">
                  <c:v>0.000521348685032838</c:v>
                </c:pt>
                <c:pt idx="746">
                  <c:v>0.00052134999231262</c:v>
                </c:pt>
                <c:pt idx="747">
                  <c:v>0.000521351284924242</c:v>
                </c:pt>
                <c:pt idx="748">
                  <c:v>0.000521352563032285</c:v>
                </c:pt>
                <c:pt idx="749">
                  <c:v>0.000521353826799484</c:v>
                </c:pt>
                <c:pt idx="750">
                  <c:v>0.00052135507638675</c:v>
                </c:pt>
                <c:pt idx="751">
                  <c:v>0.000521356311953187</c:v>
                </c:pt>
                <c:pt idx="752">
                  <c:v>0.000521357533656113</c:v>
                </c:pt>
                <c:pt idx="753">
                  <c:v>0.000521358741651081</c:v>
                </c:pt>
                <c:pt idx="754">
                  <c:v>0.000521359936091901</c:v>
                </c:pt>
                <c:pt idx="755">
                  <c:v>0.000521361117130655</c:v>
                </c:pt>
                <c:pt idx="756">
                  <c:v>0.000521362284917719</c:v>
                </c:pt>
                <c:pt idx="757">
                  <c:v>0.000521363439601782</c:v>
                </c:pt>
                <c:pt idx="758">
                  <c:v>0.000521364581329865</c:v>
                </c:pt>
                <c:pt idx="759">
                  <c:v>0.000521365710247337</c:v>
                </c:pt>
                <c:pt idx="760">
                  <c:v>0.000521366826497939</c:v>
                </c:pt>
                <c:pt idx="761">
                  <c:v>0.000521367930223799</c:v>
                </c:pt>
                <c:pt idx="762">
                  <c:v>0.000521369021565447</c:v>
                </c:pt>
                <c:pt idx="763">
                  <c:v>0.00052137010066184</c:v>
                </c:pt>
                <c:pt idx="764">
                  <c:v>0.000521371167650374</c:v>
                </c:pt>
                <c:pt idx="765">
                  <c:v>0.000521372222666904</c:v>
                </c:pt>
                <c:pt idx="766">
                  <c:v>0.000521373265845759</c:v>
                </c:pt>
                <c:pt idx="767">
                  <c:v>0.000521374297319763</c:v>
                </c:pt>
                <c:pt idx="768">
                  <c:v>0.000521375317220249</c:v>
                </c:pt>
                <c:pt idx="769">
                  <c:v>0.000521376325677075</c:v>
                </c:pt>
                <c:pt idx="770">
                  <c:v>0.000521377322818645</c:v>
                </c:pt>
                <c:pt idx="771">
                  <c:v>0.000521378308771918</c:v>
                </c:pt>
                <c:pt idx="772">
                  <c:v>0.000521379283662433</c:v>
                </c:pt>
                <c:pt idx="773">
                  <c:v>0.000521380247614316</c:v>
                </c:pt>
                <c:pt idx="774">
                  <c:v>0.000521381200750305</c:v>
                </c:pt>
                <c:pt idx="775">
                  <c:v>0.000521382143191756</c:v>
                </c:pt>
                <c:pt idx="776">
                  <c:v>0.000521383075058667</c:v>
                </c:pt>
                <c:pt idx="777">
                  <c:v>0.000521383996469688</c:v>
                </c:pt>
                <c:pt idx="778">
                  <c:v>0.000521384907542137</c:v>
                </c:pt>
                <c:pt idx="779">
                  <c:v>0.000521385808392019</c:v>
                </c:pt>
                <c:pt idx="780">
                  <c:v>0.000521386699134032</c:v>
                </c:pt>
                <c:pt idx="781">
                  <c:v>0.000521387579881592</c:v>
                </c:pt>
                <c:pt idx="782">
                  <c:v>0.00052138845074684</c:v>
                </c:pt>
                <c:pt idx="783">
                  <c:v>0.000521389311840659</c:v>
                </c:pt>
                <c:pt idx="784">
                  <c:v>0.000521390163272688</c:v>
                </c:pt>
                <c:pt idx="785">
                  <c:v>0.000521391005151336</c:v>
                </c:pt>
                <c:pt idx="786">
                  <c:v>0.000521391837583795</c:v>
                </c:pt>
                <c:pt idx="787">
                  <c:v>0.000521392660676055</c:v>
                </c:pt>
                <c:pt idx="788">
                  <c:v>0.000521393474532917</c:v>
                </c:pt>
                <c:pt idx="789">
                  <c:v>0.000521394279258005</c:v>
                </c:pt>
                <c:pt idx="790">
                  <c:v>0.00052139507495378</c:v>
                </c:pt>
                <c:pt idx="791">
                  <c:v>0.000521395861721557</c:v>
                </c:pt>
                <c:pt idx="792">
                  <c:v>0.000521396639661508</c:v>
                </c:pt>
                <c:pt idx="793">
                  <c:v>0.000521397408872687</c:v>
                </c:pt>
                <c:pt idx="794">
                  <c:v>0.000521398169453033</c:v>
                </c:pt>
                <c:pt idx="795">
                  <c:v>0.000521398921499388</c:v>
                </c:pt>
                <c:pt idx="796">
                  <c:v>0.000521399665107505</c:v>
                </c:pt>
                <c:pt idx="797">
                  <c:v>0.000521400400372065</c:v>
                </c:pt>
                <c:pt idx="798">
                  <c:v>0.000521401127386685</c:v>
                </c:pt>
                <c:pt idx="799">
                  <c:v>0.000521401846243934</c:v>
                </c:pt>
                <c:pt idx="800">
                  <c:v>0.00052140255703534</c:v>
                </c:pt>
                <c:pt idx="801">
                  <c:v>0.000521403259851404</c:v>
                </c:pt>
                <c:pt idx="802">
                  <c:v>0.000521403954781613</c:v>
                </c:pt>
                <c:pt idx="803">
                  <c:v>0.000521404641914449</c:v>
                </c:pt>
                <c:pt idx="804">
                  <c:v>0.000521405321337401</c:v>
                </c:pt>
                <c:pt idx="805">
                  <c:v>0.000521405993136977</c:v>
                </c:pt>
                <c:pt idx="806">
                  <c:v>0.000521406657398715</c:v>
                </c:pt>
                <c:pt idx="807">
                  <c:v>0.000521407314207191</c:v>
                </c:pt>
                <c:pt idx="808">
                  <c:v>0.000521407963646034</c:v>
                </c:pt>
                <c:pt idx="809">
                  <c:v>0.000521408605797934</c:v>
                </c:pt>
                <c:pt idx="810">
                  <c:v>0.000521409240744653</c:v>
                </c:pt>
                <c:pt idx="811">
                  <c:v>0.000521409868567036</c:v>
                </c:pt>
                <c:pt idx="812">
                  <c:v>0.000521410489345021</c:v>
                </c:pt>
                <c:pt idx="813">
                  <c:v>0.000521411103157647</c:v>
                </c:pt>
                <c:pt idx="814">
                  <c:v>0.00052141171008307</c:v>
                </c:pt>
                <c:pt idx="815">
                  <c:v>0.000521412310198566</c:v>
                </c:pt>
                <c:pt idx="816">
                  <c:v>0.000521412903580545</c:v>
                </c:pt>
                <c:pt idx="817">
                  <c:v>0.00052141349030456</c:v>
                </c:pt>
                <c:pt idx="818">
                  <c:v>0.000521414070445315</c:v>
                </c:pt>
                <c:pt idx="819">
                  <c:v>0.000521414644076676</c:v>
                </c:pt>
                <c:pt idx="820">
                  <c:v>0.000521415211271683</c:v>
                </c:pt>
                <c:pt idx="821">
                  <c:v>0.000521415772102553</c:v>
                </c:pt>
                <c:pt idx="822">
                  <c:v>0.000521416326640693</c:v>
                </c:pt>
                <c:pt idx="823">
                  <c:v>0.000521416874956712</c:v>
                </c:pt>
                <c:pt idx="824">
                  <c:v>0.000521417417120422</c:v>
                </c:pt>
                <c:pt idx="825">
                  <c:v>0.000521417953200856</c:v>
                </c:pt>
                <c:pt idx="826">
                  <c:v>0.00052141848326627</c:v>
                </c:pt>
                <c:pt idx="827">
                  <c:v>0.000521419007384155</c:v>
                </c:pt>
                <c:pt idx="828">
                  <c:v>0.000521419525621244</c:v>
                </c:pt>
                <c:pt idx="829">
                  <c:v>0.000521420038043522</c:v>
                </c:pt>
                <c:pt idx="830">
                  <c:v>0.000521420544716233</c:v>
                </c:pt>
                <c:pt idx="831">
                  <c:v>0.00052142104570389</c:v>
                </c:pt>
                <c:pt idx="832">
                  <c:v>0.00052142154107028</c:v>
                </c:pt>
                <c:pt idx="833">
                  <c:v>0.000521422030878477</c:v>
                </c:pt>
                <c:pt idx="834">
                  <c:v>0.000521422515190846</c:v>
                </c:pt>
                <c:pt idx="835">
                  <c:v>0.000521422994069051</c:v>
                </c:pt>
                <c:pt idx="836">
                  <c:v>0.000521423467574066</c:v>
                </c:pt>
                <c:pt idx="837">
                  <c:v>0.000521423935766181</c:v>
                </c:pt>
                <c:pt idx="838">
                  <c:v>0.000521424398705008</c:v>
                </c:pt>
                <c:pt idx="839">
                  <c:v>0.00052142485644949</c:v>
                </c:pt>
                <c:pt idx="840">
                  <c:v>0.000521425309057911</c:v>
                </c:pt>
                <c:pt idx="841">
                  <c:v>0.000521425756587898</c:v>
                </c:pt>
                <c:pt idx="842">
                  <c:v>0.000521426199096435</c:v>
                </c:pt>
                <c:pt idx="843">
                  <c:v>0.000521426636639862</c:v>
                </c:pt>
                <c:pt idx="844">
                  <c:v>0.000521427069273891</c:v>
                </c:pt>
                <c:pt idx="845">
                  <c:v>0.000521427497053606</c:v>
                </c:pt>
                <c:pt idx="846">
                  <c:v>0.000521427920033476</c:v>
                </c:pt>
                <c:pt idx="847">
                  <c:v>0.000521428338267355</c:v>
                </c:pt>
                <c:pt idx="848">
                  <c:v>0.000521428751808497</c:v>
                </c:pt>
                <c:pt idx="849">
                  <c:v>0.000521429160709554</c:v>
                </c:pt>
                <c:pt idx="850">
                  <c:v>0.000521429565022591</c:v>
                </c:pt>
                <c:pt idx="851">
                  <c:v>0.000521429964799086</c:v>
                </c:pt>
                <c:pt idx="852">
                  <c:v>0.000521430360089942</c:v>
                </c:pt>
                <c:pt idx="853">
                  <c:v>0.000521430750945489</c:v>
                </c:pt>
                <c:pt idx="854">
                  <c:v>0.000521431137415493</c:v>
                </c:pt>
                <c:pt idx="855">
                  <c:v>0.000521431519549161</c:v>
                </c:pt>
                <c:pt idx="856">
                  <c:v>0.000521431897395148</c:v>
                </c:pt>
                <c:pt idx="857">
                  <c:v>0.000521432271001564</c:v>
                </c:pt>
                <c:pt idx="858">
                  <c:v>0.000521432640415978</c:v>
                </c:pt>
                <c:pt idx="859">
                  <c:v>0.000521433005685427</c:v>
                </c:pt>
                <c:pt idx="860">
                  <c:v>0.000521433366856418</c:v>
                </c:pt>
                <c:pt idx="861">
                  <c:v>0.000521433723974937</c:v>
                </c:pt>
                <c:pt idx="862">
                  <c:v>0.000521434077086454</c:v>
                </c:pt>
                <c:pt idx="863">
                  <c:v>0.000521434426235931</c:v>
                </c:pt>
                <c:pt idx="864">
                  <c:v>0.000521434771467822</c:v>
                </c:pt>
                <c:pt idx="865">
                  <c:v>0.000521435112826083</c:v>
                </c:pt>
                <c:pt idx="866">
                  <c:v>0.00052143545035418</c:v>
                </c:pt>
                <c:pt idx="867">
                  <c:v>0.000521435784095086</c:v>
                </c:pt>
                <c:pt idx="868">
                  <c:v>0.000521436114091297</c:v>
                </c:pt>
                <c:pt idx="869">
                  <c:v>0.000521436440384828</c:v>
                </c:pt>
                <c:pt idx="870">
                  <c:v>0.000521436763017226</c:v>
                </c:pt>
                <c:pt idx="871">
                  <c:v>0.000521437082029569</c:v>
                </c:pt>
                <c:pt idx="872">
                  <c:v>0.000521437397462477</c:v>
                </c:pt>
                <c:pt idx="873">
                  <c:v>0.000521437709356111</c:v>
                </c:pt>
                <c:pt idx="874">
                  <c:v>0.000521438017750184</c:v>
                </c:pt>
                <c:pt idx="875">
                  <c:v>0.000521438322683961</c:v>
                </c:pt>
                <c:pt idx="876">
                  <c:v>0.000521438624196269</c:v>
                </c:pt>
                <c:pt idx="877">
                  <c:v>0.000521438922325498</c:v>
                </c:pt>
                <c:pt idx="878">
                  <c:v>0.000521439217109607</c:v>
                </c:pt>
                <c:pt idx="879">
                  <c:v>0.00052143950858613</c:v>
                </c:pt>
                <c:pt idx="880">
                  <c:v>0.000521439796792178</c:v>
                </c:pt>
                <c:pt idx="881">
                  <c:v>0.000521440081764449</c:v>
                </c:pt>
                <c:pt idx="882">
                  <c:v>0.000521440363539226</c:v>
                </c:pt>
                <c:pt idx="883">
                  <c:v>0.000521440642152386</c:v>
                </c:pt>
                <c:pt idx="884">
                  <c:v>0.000521440917639403</c:v>
                </c:pt>
                <c:pt idx="885">
                  <c:v>0.000521441190035355</c:v>
                </c:pt>
                <c:pt idx="886">
                  <c:v>0.000521441459374924</c:v>
                </c:pt>
                <c:pt idx="887">
                  <c:v>0.000521441725692404</c:v>
                </c:pt>
                <c:pt idx="888">
                  <c:v>0.000521441989021703</c:v>
                </c:pt>
                <c:pt idx="889">
                  <c:v>0.000521442249396351</c:v>
                </c:pt>
                <c:pt idx="890">
                  <c:v>0.000521442506849499</c:v>
                </c:pt>
                <c:pt idx="891">
                  <c:v>0.000521442761413928</c:v>
                </c:pt>
                <c:pt idx="892">
                  <c:v>0.00052144301312205</c:v>
                </c:pt>
                <c:pt idx="893">
                  <c:v>0.000521443262005915</c:v>
                </c:pt>
                <c:pt idx="894">
                  <c:v>0.00052144350809721</c:v>
                </c:pt>
                <c:pt idx="895">
                  <c:v>0.000521443751427271</c:v>
                </c:pt>
                <c:pt idx="896">
                  <c:v>0.000521443992027079</c:v>
                </c:pt>
                <c:pt idx="897">
                  <c:v>0.000521444229927268</c:v>
                </c:pt>
                <c:pt idx="898">
                  <c:v>0.00052144446515813</c:v>
                </c:pt>
                <c:pt idx="899">
                  <c:v>0.000521444697749614</c:v>
                </c:pt>
                <c:pt idx="900">
                  <c:v>0.000521444927731337</c:v>
                </c:pt>
                <c:pt idx="901">
                  <c:v>0.000521445155132579</c:v>
                </c:pt>
                <c:pt idx="902">
                  <c:v>0.000521445379982296</c:v>
                </c:pt>
                <c:pt idx="903">
                  <c:v>0.000521445602309117</c:v>
                </c:pt>
                <c:pt idx="904">
                  <c:v>0.000521445822141348</c:v>
                </c:pt>
                <c:pt idx="905">
                  <c:v>0.000521446039506981</c:v>
                </c:pt>
                <c:pt idx="906">
                  <c:v>0.000521446254433691</c:v>
                </c:pt>
                <c:pt idx="907">
                  <c:v>0.000521446466948845</c:v>
                </c:pt>
                <c:pt idx="908">
                  <c:v>0.0005214466770795</c:v>
                </c:pt>
                <c:pt idx="909">
                  <c:v>0.000521446884852412</c:v>
                </c:pt>
                <c:pt idx="910">
                  <c:v>0.000521447090294035</c:v>
                </c:pt>
                <c:pt idx="911">
                  <c:v>0.000521447293430527</c:v>
                </c:pt>
                <c:pt idx="912">
                  <c:v>0.000521447494287753</c:v>
                </c:pt>
                <c:pt idx="913">
                  <c:v>0.000521447692891288</c:v>
                </c:pt>
                <c:pt idx="914">
                  <c:v>0.000521447889266417</c:v>
                </c:pt>
                <c:pt idx="915">
                  <c:v>0.000521448083438145</c:v>
                </c:pt>
                <c:pt idx="916">
                  <c:v>0.000521448275431194</c:v>
                </c:pt>
                <c:pt idx="917">
                  <c:v>0.000521448465270011</c:v>
                </c:pt>
                <c:pt idx="918">
                  <c:v>0.000521448652978766</c:v>
                </c:pt>
                <c:pt idx="919">
                  <c:v>0.00052144883858136</c:v>
                </c:pt>
                <c:pt idx="920">
                  <c:v>0.000521449022101425</c:v>
                </c:pt>
                <c:pt idx="921">
                  <c:v>0.000521449203562326</c:v>
                </c:pt>
                <c:pt idx="922">
                  <c:v>0.00052144938298717</c:v>
                </c:pt>
                <c:pt idx="923">
                  <c:v>0.000521449560398801</c:v>
                </c:pt>
                <c:pt idx="924">
                  <c:v>0.000521449735819807</c:v>
                </c:pt>
                <c:pt idx="925">
                  <c:v>0.000521449909272526</c:v>
                </c:pt>
                <c:pt idx="926">
                  <c:v>0.000521450080779041</c:v>
                </c:pt>
                <c:pt idx="927">
                  <c:v>0.00052145025036119</c:v>
                </c:pt>
                <c:pt idx="928">
                  <c:v>0.000521450418040564</c:v>
                </c:pt>
                <c:pt idx="929">
                  <c:v>0.000521450583838514</c:v>
                </c:pt>
                <c:pt idx="930">
                  <c:v>0.00052145074777615</c:v>
                </c:pt>
                <c:pt idx="931">
                  <c:v>0.000521450909874346</c:v>
                </c:pt>
                <c:pt idx="932">
                  <c:v>0.00052145107015374</c:v>
                </c:pt>
                <c:pt idx="933">
                  <c:v>0.00052145122863474</c:v>
                </c:pt>
                <c:pt idx="934">
                  <c:v>0.000521451385337525</c:v>
                </c:pt>
                <c:pt idx="935">
                  <c:v>0.000521451540282047</c:v>
                </c:pt>
                <c:pt idx="936">
                  <c:v>0.000521451693488034</c:v>
                </c:pt>
                <c:pt idx="937">
                  <c:v>0.000521451844974993</c:v>
                </c:pt>
                <c:pt idx="938">
                  <c:v>0.000521451994762214</c:v>
                </c:pt>
                <c:pt idx="939">
                  <c:v>0.000521452142868766</c:v>
                </c:pt>
                <c:pt idx="940">
                  <c:v>0.000521452289313508</c:v>
                </c:pt>
                <c:pt idx="941">
                  <c:v>0.000521452434115086</c:v>
                </c:pt>
                <c:pt idx="942">
                  <c:v>0.000521452577291938</c:v>
                </c:pt>
                <c:pt idx="943">
                  <c:v>0.000521452718862292</c:v>
                </c:pt>
                <c:pt idx="944">
                  <c:v>0.000521452858844174</c:v>
                </c:pt>
                <c:pt idx="945">
                  <c:v>0.000521452997255409</c:v>
                </c:pt>
                <c:pt idx="946">
                  <c:v>0.000521453134113618</c:v>
                </c:pt>
                <c:pt idx="947">
                  <c:v>0.000521453269436228</c:v>
                </c:pt>
                <c:pt idx="948">
                  <c:v>0.000521453403240468</c:v>
                </c:pt>
                <c:pt idx="949">
                  <c:v>0.000521453535543375</c:v>
                </c:pt>
                <c:pt idx="950">
                  <c:v>0.000521453666361795</c:v>
                </c:pt>
                <c:pt idx="951">
                  <c:v>0.000521453795712384</c:v>
                </c:pt>
                <c:pt idx="952">
                  <c:v>0.000521453923611612</c:v>
                </c:pt>
                <c:pt idx="953">
                  <c:v>0.000521454050075763</c:v>
                </c:pt>
                <c:pt idx="954">
                  <c:v>0.00052145417512094</c:v>
                </c:pt>
                <c:pt idx="955">
                  <c:v>0.000521454298763064</c:v>
                </c:pt>
                <c:pt idx="956">
                  <c:v>0.000521454421017878</c:v>
                </c:pt>
                <c:pt idx="957">
                  <c:v>0.000521454541900948</c:v>
                </c:pt>
                <c:pt idx="958">
                  <c:v>0.000521454661427665</c:v>
                </c:pt>
                <c:pt idx="959">
                  <c:v>0.000521454779613248</c:v>
                </c:pt>
                <c:pt idx="960">
                  <c:v>0.000521454896472746</c:v>
                </c:pt>
                <c:pt idx="961">
                  <c:v>0.000521455012021037</c:v>
                </c:pt>
                <c:pt idx="962">
                  <c:v>0.000521455126272833</c:v>
                </c:pt>
                <c:pt idx="963">
                  <c:v>0.000521455239242683</c:v>
                </c:pt>
                <c:pt idx="964">
                  <c:v>0.000521455350944969</c:v>
                </c:pt>
                <c:pt idx="965">
                  <c:v>0.000521455461393914</c:v>
                </c:pt>
                <c:pt idx="966">
                  <c:v>0.000521455570603581</c:v>
                </c:pt>
                <c:pt idx="967">
                  <c:v>0.000521455678587876</c:v>
                </c:pt>
                <c:pt idx="968">
                  <c:v>0.000521455785360547</c:v>
                </c:pt>
                <c:pt idx="969">
                  <c:v>0.000521455890935189</c:v>
                </c:pt>
                <c:pt idx="970">
                  <c:v>0.000521455995325245</c:v>
                </c:pt>
                <c:pt idx="971">
                  <c:v>0.000521456098544006</c:v>
                </c:pt>
                <c:pt idx="972">
                  <c:v>0.000521456200604614</c:v>
                </c:pt>
                <c:pt idx="973">
                  <c:v>0.000521456301520065</c:v>
                </c:pt>
                <c:pt idx="974">
                  <c:v>0.000521456401303208</c:v>
                </c:pt>
                <c:pt idx="975">
                  <c:v>0.000521456499966746</c:v>
                </c:pt>
                <c:pt idx="976">
                  <c:v>0.000521456597523244</c:v>
                </c:pt>
                <c:pt idx="977">
                  <c:v>0.000521456693985121</c:v>
                </c:pt>
                <c:pt idx="978">
                  <c:v>0.000521456789364661</c:v>
                </c:pt>
                <c:pt idx="979">
                  <c:v>0.000521456883674007</c:v>
                </c:pt>
                <c:pt idx="980">
                  <c:v>0.000521456976925168</c:v>
                </c:pt>
                <c:pt idx="981">
                  <c:v>0.000521457069130016</c:v>
                </c:pt>
                <c:pt idx="982">
                  <c:v>0.000521457160300292</c:v>
                </c:pt>
                <c:pt idx="983">
                  <c:v>0.000521457250447604</c:v>
                </c:pt>
                <c:pt idx="984">
                  <c:v>0.000521457339583429</c:v>
                </c:pt>
                <c:pt idx="985">
                  <c:v>0.000521457427719118</c:v>
                </c:pt>
                <c:pt idx="986">
                  <c:v>0.000521457514865892</c:v>
                </c:pt>
                <c:pt idx="987">
                  <c:v>0.000521457601034847</c:v>
                </c:pt>
                <c:pt idx="988">
                  <c:v>0.000521457686236955</c:v>
                </c:pt>
                <c:pt idx="989">
                  <c:v>0.000521457770483063</c:v>
                </c:pt>
                <c:pt idx="990">
                  <c:v>0.0005214578537839</c:v>
                </c:pt>
                <c:pt idx="991">
                  <c:v>0.00052145793615007</c:v>
                </c:pt>
                <c:pt idx="992">
                  <c:v>0.000521458017592061</c:v>
                </c:pt>
                <c:pt idx="993">
                  <c:v>0.000521458098120243</c:v>
                </c:pt>
                <c:pt idx="994">
                  <c:v>0.000521458177744869</c:v>
                </c:pt>
                <c:pt idx="995">
                  <c:v>0.000521458256476078</c:v>
                </c:pt>
                <c:pt idx="996">
                  <c:v>0.000521458334323894</c:v>
                </c:pt>
                <c:pt idx="997">
                  <c:v>0.000521458411298228</c:v>
                </c:pt>
                <c:pt idx="998">
                  <c:v>0.000521458487408882</c:v>
                </c:pt>
                <c:pt idx="999">
                  <c:v>0.000521458562665546</c:v>
                </c:pt>
                <c:pt idx="1000">
                  <c:v>0.000521458637077803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Sheet1!$G$9:$G$9</c:f>
              <c:strCache>
                <c:ptCount val="1"/>
                <c:pt idx="0">
                  <c:v>1.00E-06</c:v>
                </c:pt>
              </c:strCache>
            </c:strRef>
          </c:tx>
          <c:spPr>
            <a:solidFill>
              <a:srgbClr val="ffc000"/>
            </a:solidFill>
            <a:ln w="19080">
              <a:solidFill>
                <a:srgbClr val="ffc000"/>
              </a:solidFill>
              <a:round/>
            </a:ln>
          </c:spPr>
          <c:marker>
            <c:symbol val="square"/>
            <c:size val="5"/>
            <c:spPr>
              <a:solidFill>
                <a:srgbClr val="ffc0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Sheet1!$C$12:$C$1012</c:f>
              <c:numCache>
                <c:formatCode>General</c:formatCode>
                <c:ptCount val="10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</c:v>
                </c:pt>
                <c:pt idx="323">
                  <c:v>32.3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</c:v>
                </c:pt>
                <c:pt idx="328">
                  <c:v>32.8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</c:v>
                </c:pt>
                <c:pt idx="333">
                  <c:v>33.3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</c:v>
                </c:pt>
                <c:pt idx="338">
                  <c:v>33.8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</c:v>
                </c:pt>
                <c:pt idx="343">
                  <c:v>34.3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</c:v>
                </c:pt>
                <c:pt idx="348">
                  <c:v>34.8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</c:v>
                </c:pt>
                <c:pt idx="353">
                  <c:v>35.3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</c:v>
                </c:pt>
                <c:pt idx="358">
                  <c:v>35.8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</c:v>
                </c:pt>
                <c:pt idx="363">
                  <c:v>36.3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</c:v>
                </c:pt>
                <c:pt idx="368">
                  <c:v>36.8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</c:v>
                </c:pt>
                <c:pt idx="373">
                  <c:v>37.3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</c:v>
                </c:pt>
                <c:pt idx="378">
                  <c:v>37.8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</c:v>
                </c:pt>
                <c:pt idx="383">
                  <c:v>38.3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</c:v>
                </c:pt>
                <c:pt idx="388">
                  <c:v>38.8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</c:v>
                </c:pt>
                <c:pt idx="393">
                  <c:v>39.3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</c:v>
                </c:pt>
                <c:pt idx="398">
                  <c:v>39.8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</c:v>
                </c:pt>
                <c:pt idx="403">
                  <c:v>40.3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</c:v>
                </c:pt>
                <c:pt idx="408">
                  <c:v>40.8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64.1</c:v>
                </c:pt>
                <c:pt idx="642">
                  <c:v>64.2</c:v>
                </c:pt>
                <c:pt idx="643">
                  <c:v>64.3</c:v>
                </c:pt>
                <c:pt idx="644">
                  <c:v>64.4</c:v>
                </c:pt>
                <c:pt idx="645">
                  <c:v>64.5</c:v>
                </c:pt>
                <c:pt idx="646">
                  <c:v>64.6</c:v>
                </c:pt>
                <c:pt idx="647">
                  <c:v>64.7</c:v>
                </c:pt>
                <c:pt idx="648">
                  <c:v>64.8</c:v>
                </c:pt>
                <c:pt idx="649">
                  <c:v>64.9</c:v>
                </c:pt>
                <c:pt idx="650">
                  <c:v>65</c:v>
                </c:pt>
                <c:pt idx="651">
                  <c:v>65.1</c:v>
                </c:pt>
                <c:pt idx="652">
                  <c:v>65.2</c:v>
                </c:pt>
                <c:pt idx="653">
                  <c:v>65.3</c:v>
                </c:pt>
                <c:pt idx="654">
                  <c:v>65.4</c:v>
                </c:pt>
                <c:pt idx="655">
                  <c:v>65.5</c:v>
                </c:pt>
                <c:pt idx="656">
                  <c:v>65.6</c:v>
                </c:pt>
                <c:pt idx="657">
                  <c:v>65.7</c:v>
                </c:pt>
                <c:pt idx="658">
                  <c:v>65.8</c:v>
                </c:pt>
                <c:pt idx="659">
                  <c:v>65.9</c:v>
                </c:pt>
                <c:pt idx="660">
                  <c:v>66</c:v>
                </c:pt>
                <c:pt idx="661">
                  <c:v>66.1</c:v>
                </c:pt>
                <c:pt idx="662">
                  <c:v>66.2</c:v>
                </c:pt>
                <c:pt idx="663">
                  <c:v>66.3</c:v>
                </c:pt>
                <c:pt idx="664">
                  <c:v>66.4</c:v>
                </c:pt>
                <c:pt idx="665">
                  <c:v>66.5</c:v>
                </c:pt>
                <c:pt idx="666">
                  <c:v>66.6</c:v>
                </c:pt>
                <c:pt idx="667">
                  <c:v>66.7</c:v>
                </c:pt>
                <c:pt idx="668">
                  <c:v>66.8</c:v>
                </c:pt>
                <c:pt idx="669">
                  <c:v>66.9</c:v>
                </c:pt>
                <c:pt idx="670">
                  <c:v>67</c:v>
                </c:pt>
                <c:pt idx="671">
                  <c:v>67.1</c:v>
                </c:pt>
                <c:pt idx="672">
                  <c:v>67.2</c:v>
                </c:pt>
                <c:pt idx="673">
                  <c:v>67.3</c:v>
                </c:pt>
                <c:pt idx="674">
                  <c:v>67.4</c:v>
                </c:pt>
                <c:pt idx="675">
                  <c:v>67.5</c:v>
                </c:pt>
                <c:pt idx="676">
                  <c:v>67.6</c:v>
                </c:pt>
                <c:pt idx="677">
                  <c:v>67.7</c:v>
                </c:pt>
                <c:pt idx="678">
                  <c:v>67.8</c:v>
                </c:pt>
                <c:pt idx="679">
                  <c:v>67.9</c:v>
                </c:pt>
                <c:pt idx="680">
                  <c:v>68</c:v>
                </c:pt>
                <c:pt idx="681">
                  <c:v>68.1</c:v>
                </c:pt>
                <c:pt idx="682">
                  <c:v>68.2</c:v>
                </c:pt>
                <c:pt idx="683">
                  <c:v>68.3</c:v>
                </c:pt>
                <c:pt idx="684">
                  <c:v>68.4</c:v>
                </c:pt>
                <c:pt idx="685">
                  <c:v>68.5</c:v>
                </c:pt>
                <c:pt idx="686">
                  <c:v>68.6</c:v>
                </c:pt>
                <c:pt idx="687">
                  <c:v>68.7</c:v>
                </c:pt>
                <c:pt idx="688">
                  <c:v>68.8</c:v>
                </c:pt>
                <c:pt idx="689">
                  <c:v>68.9</c:v>
                </c:pt>
                <c:pt idx="690">
                  <c:v>69</c:v>
                </c:pt>
                <c:pt idx="691">
                  <c:v>69.1</c:v>
                </c:pt>
                <c:pt idx="692">
                  <c:v>69.2</c:v>
                </c:pt>
                <c:pt idx="693">
                  <c:v>69.3</c:v>
                </c:pt>
                <c:pt idx="694">
                  <c:v>69.4</c:v>
                </c:pt>
                <c:pt idx="695">
                  <c:v>69.5</c:v>
                </c:pt>
                <c:pt idx="696">
                  <c:v>69.6</c:v>
                </c:pt>
                <c:pt idx="697">
                  <c:v>69.7</c:v>
                </c:pt>
                <c:pt idx="698">
                  <c:v>69.8</c:v>
                </c:pt>
                <c:pt idx="699">
                  <c:v>69.9</c:v>
                </c:pt>
                <c:pt idx="700">
                  <c:v>70</c:v>
                </c:pt>
                <c:pt idx="701">
                  <c:v>70.1</c:v>
                </c:pt>
                <c:pt idx="702">
                  <c:v>70.2</c:v>
                </c:pt>
                <c:pt idx="703">
                  <c:v>70.3</c:v>
                </c:pt>
                <c:pt idx="704">
                  <c:v>70.4</c:v>
                </c:pt>
                <c:pt idx="705">
                  <c:v>70.5</c:v>
                </c:pt>
                <c:pt idx="706">
                  <c:v>70.6</c:v>
                </c:pt>
                <c:pt idx="707">
                  <c:v>70.7</c:v>
                </c:pt>
                <c:pt idx="708">
                  <c:v>70.8</c:v>
                </c:pt>
                <c:pt idx="709">
                  <c:v>70.9</c:v>
                </c:pt>
                <c:pt idx="710">
                  <c:v>71</c:v>
                </c:pt>
                <c:pt idx="711">
                  <c:v>71.1</c:v>
                </c:pt>
                <c:pt idx="712">
                  <c:v>71.2</c:v>
                </c:pt>
                <c:pt idx="713">
                  <c:v>71.3</c:v>
                </c:pt>
                <c:pt idx="714">
                  <c:v>71.4</c:v>
                </c:pt>
                <c:pt idx="715">
                  <c:v>71.5</c:v>
                </c:pt>
                <c:pt idx="716">
                  <c:v>71.6</c:v>
                </c:pt>
                <c:pt idx="717">
                  <c:v>71.7</c:v>
                </c:pt>
                <c:pt idx="718">
                  <c:v>71.8</c:v>
                </c:pt>
                <c:pt idx="719">
                  <c:v>71.9</c:v>
                </c:pt>
                <c:pt idx="720">
                  <c:v>72</c:v>
                </c:pt>
                <c:pt idx="721">
                  <c:v>72.1</c:v>
                </c:pt>
                <c:pt idx="722">
                  <c:v>72.2</c:v>
                </c:pt>
                <c:pt idx="723">
                  <c:v>72.3</c:v>
                </c:pt>
                <c:pt idx="724">
                  <c:v>72.4</c:v>
                </c:pt>
                <c:pt idx="725">
                  <c:v>72.5</c:v>
                </c:pt>
                <c:pt idx="726">
                  <c:v>72.6</c:v>
                </c:pt>
                <c:pt idx="727">
                  <c:v>72.7</c:v>
                </c:pt>
                <c:pt idx="728">
                  <c:v>72.8</c:v>
                </c:pt>
                <c:pt idx="729">
                  <c:v>72.9</c:v>
                </c:pt>
                <c:pt idx="730">
                  <c:v>73</c:v>
                </c:pt>
                <c:pt idx="731">
                  <c:v>73.1</c:v>
                </c:pt>
                <c:pt idx="732">
                  <c:v>73.2</c:v>
                </c:pt>
                <c:pt idx="733">
                  <c:v>73.3</c:v>
                </c:pt>
                <c:pt idx="734">
                  <c:v>73.4</c:v>
                </c:pt>
                <c:pt idx="735">
                  <c:v>73.5</c:v>
                </c:pt>
                <c:pt idx="736">
                  <c:v>73.6</c:v>
                </c:pt>
                <c:pt idx="737">
                  <c:v>73.7</c:v>
                </c:pt>
                <c:pt idx="738">
                  <c:v>73.8</c:v>
                </c:pt>
                <c:pt idx="739">
                  <c:v>73.9</c:v>
                </c:pt>
                <c:pt idx="740">
                  <c:v>74</c:v>
                </c:pt>
                <c:pt idx="741">
                  <c:v>74.1</c:v>
                </c:pt>
                <c:pt idx="742">
                  <c:v>74.2</c:v>
                </c:pt>
                <c:pt idx="743">
                  <c:v>74.3</c:v>
                </c:pt>
                <c:pt idx="744">
                  <c:v>74.4</c:v>
                </c:pt>
                <c:pt idx="745">
                  <c:v>74.5</c:v>
                </c:pt>
                <c:pt idx="746">
                  <c:v>74.6</c:v>
                </c:pt>
                <c:pt idx="747">
                  <c:v>74.7</c:v>
                </c:pt>
                <c:pt idx="748">
                  <c:v>74.8</c:v>
                </c:pt>
                <c:pt idx="749">
                  <c:v>74.9</c:v>
                </c:pt>
                <c:pt idx="750">
                  <c:v>75</c:v>
                </c:pt>
                <c:pt idx="751">
                  <c:v>75.1</c:v>
                </c:pt>
                <c:pt idx="752">
                  <c:v>75.2</c:v>
                </c:pt>
                <c:pt idx="753">
                  <c:v>75.3</c:v>
                </c:pt>
                <c:pt idx="754">
                  <c:v>75.4</c:v>
                </c:pt>
                <c:pt idx="755">
                  <c:v>75.5</c:v>
                </c:pt>
                <c:pt idx="756">
                  <c:v>75.6</c:v>
                </c:pt>
                <c:pt idx="757">
                  <c:v>75.7</c:v>
                </c:pt>
                <c:pt idx="758">
                  <c:v>75.8</c:v>
                </c:pt>
                <c:pt idx="759">
                  <c:v>75.9</c:v>
                </c:pt>
                <c:pt idx="760">
                  <c:v>76</c:v>
                </c:pt>
                <c:pt idx="761">
                  <c:v>76.1</c:v>
                </c:pt>
                <c:pt idx="762">
                  <c:v>76.2</c:v>
                </c:pt>
                <c:pt idx="763">
                  <c:v>76.3</c:v>
                </c:pt>
                <c:pt idx="764">
                  <c:v>76.4</c:v>
                </c:pt>
                <c:pt idx="765">
                  <c:v>76.5</c:v>
                </c:pt>
                <c:pt idx="766">
                  <c:v>76.6</c:v>
                </c:pt>
                <c:pt idx="767">
                  <c:v>76.7</c:v>
                </c:pt>
                <c:pt idx="768">
                  <c:v>76.8</c:v>
                </c:pt>
                <c:pt idx="769">
                  <c:v>76.9</c:v>
                </c:pt>
                <c:pt idx="770">
                  <c:v>77</c:v>
                </c:pt>
                <c:pt idx="771">
                  <c:v>77.1</c:v>
                </c:pt>
                <c:pt idx="772">
                  <c:v>77.2</c:v>
                </c:pt>
                <c:pt idx="773">
                  <c:v>77.3</c:v>
                </c:pt>
                <c:pt idx="774">
                  <c:v>77.4</c:v>
                </c:pt>
                <c:pt idx="775">
                  <c:v>77.5</c:v>
                </c:pt>
                <c:pt idx="776">
                  <c:v>77.6</c:v>
                </c:pt>
                <c:pt idx="777">
                  <c:v>77.7</c:v>
                </c:pt>
                <c:pt idx="778">
                  <c:v>77.8</c:v>
                </c:pt>
                <c:pt idx="779">
                  <c:v>77.9</c:v>
                </c:pt>
                <c:pt idx="780">
                  <c:v>78</c:v>
                </c:pt>
                <c:pt idx="781">
                  <c:v>78.1</c:v>
                </c:pt>
                <c:pt idx="782">
                  <c:v>78.2</c:v>
                </c:pt>
                <c:pt idx="783">
                  <c:v>78.3</c:v>
                </c:pt>
                <c:pt idx="784">
                  <c:v>78.4</c:v>
                </c:pt>
                <c:pt idx="785">
                  <c:v>78.5</c:v>
                </c:pt>
                <c:pt idx="786">
                  <c:v>78.6</c:v>
                </c:pt>
                <c:pt idx="787">
                  <c:v>78.7</c:v>
                </c:pt>
                <c:pt idx="788">
                  <c:v>78.8</c:v>
                </c:pt>
                <c:pt idx="789">
                  <c:v>78.9</c:v>
                </c:pt>
                <c:pt idx="790">
                  <c:v>79</c:v>
                </c:pt>
                <c:pt idx="791">
                  <c:v>79.1</c:v>
                </c:pt>
                <c:pt idx="792">
                  <c:v>79.2</c:v>
                </c:pt>
                <c:pt idx="793">
                  <c:v>79.3</c:v>
                </c:pt>
                <c:pt idx="794">
                  <c:v>79.4</c:v>
                </c:pt>
                <c:pt idx="795">
                  <c:v>79.5</c:v>
                </c:pt>
                <c:pt idx="796">
                  <c:v>79.6</c:v>
                </c:pt>
                <c:pt idx="797">
                  <c:v>79.7</c:v>
                </c:pt>
                <c:pt idx="798">
                  <c:v>79.8</c:v>
                </c:pt>
                <c:pt idx="799">
                  <c:v>79.9</c:v>
                </c:pt>
                <c:pt idx="800">
                  <c:v>80</c:v>
                </c:pt>
                <c:pt idx="801">
                  <c:v>80.1</c:v>
                </c:pt>
                <c:pt idx="802">
                  <c:v>80.2</c:v>
                </c:pt>
                <c:pt idx="803">
                  <c:v>80.3</c:v>
                </c:pt>
                <c:pt idx="804">
                  <c:v>80.4</c:v>
                </c:pt>
                <c:pt idx="805">
                  <c:v>80.5</c:v>
                </c:pt>
                <c:pt idx="806">
                  <c:v>80.6</c:v>
                </c:pt>
                <c:pt idx="807">
                  <c:v>80.7</c:v>
                </c:pt>
                <c:pt idx="808">
                  <c:v>80.8</c:v>
                </c:pt>
                <c:pt idx="809">
                  <c:v>80.9</c:v>
                </c:pt>
                <c:pt idx="810">
                  <c:v>81</c:v>
                </c:pt>
                <c:pt idx="811">
                  <c:v>81.1</c:v>
                </c:pt>
                <c:pt idx="812">
                  <c:v>81.2</c:v>
                </c:pt>
                <c:pt idx="813">
                  <c:v>81.3</c:v>
                </c:pt>
                <c:pt idx="814">
                  <c:v>81.4</c:v>
                </c:pt>
                <c:pt idx="815">
                  <c:v>81.5</c:v>
                </c:pt>
                <c:pt idx="816">
                  <c:v>81.6</c:v>
                </c:pt>
                <c:pt idx="817">
                  <c:v>81.7</c:v>
                </c:pt>
                <c:pt idx="818">
                  <c:v>81.8</c:v>
                </c:pt>
                <c:pt idx="819">
                  <c:v>81.9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</c:numCache>
            </c:numRef>
          </c:xVal>
          <c:yVal>
            <c:numRef>
              <c:f>Sheet1!$G$12:$G$1012</c:f>
              <c:numCache>
                <c:formatCode>General</c:formatCode>
                <c:ptCount val="1001"/>
                <c:pt idx="0">
                  <c:v>0</c:v>
                </c:pt>
                <c:pt idx="1">
                  <c:v>4.12766865492825E-006</c:v>
                </c:pt>
                <c:pt idx="2">
                  <c:v>8.18999201470453E-006</c:v>
                </c:pt>
                <c:pt idx="3">
                  <c:v>1.218800456343E-005</c:v>
                </c:pt>
                <c:pt idx="4">
                  <c:v>1.61227244082449E-005</c:v>
                </c:pt>
                <c:pt idx="5">
                  <c:v>1.99951535385924E-005</c:v>
                </c:pt>
                <c:pt idx="6">
                  <c:v>2.38062780813792E-005</c:v>
                </c:pt>
                <c:pt idx="7">
                  <c:v>2.75570685520956E-005</c:v>
                </c:pt>
                <c:pt idx="8">
                  <c:v>3.12484801019605E-005</c:v>
                </c:pt>
                <c:pt idx="9">
                  <c:v>3.48814527611539E-005</c:v>
                </c:pt>
                <c:pt idx="10">
                  <c:v>3.84569116781989E-005</c:v>
                </c:pt>
                <c:pt idx="11">
                  <c:v>4.19757673555533E-005</c:v>
                </c:pt>
                <c:pt idx="12">
                  <c:v>4.54389158814726E-005</c:v>
                </c:pt>
                <c:pt idx="13">
                  <c:v>4.88472391582017E-005</c:v>
                </c:pt>
                <c:pt idx="14">
                  <c:v>5.22016051265539E-005</c:v>
                </c:pt>
                <c:pt idx="15">
                  <c:v>5.55028679869355E-005</c:v>
                </c:pt>
                <c:pt idx="16">
                  <c:v>5.87518684168703E-005</c:v>
                </c:pt>
                <c:pt idx="17">
                  <c:v>6.19494337850809E-005</c:v>
                </c:pt>
                <c:pt idx="18">
                  <c:v>6.50963783621813E-005</c:v>
                </c:pt>
                <c:pt idx="19">
                  <c:v>6.81935035280332E-005</c:v>
                </c:pt>
                <c:pt idx="20">
                  <c:v>7.12415979758201E-005</c:v>
                </c:pt>
                <c:pt idx="21">
                  <c:v>7.4241437912891E-005</c:v>
                </c:pt>
                <c:pt idx="22">
                  <c:v>7.71937872584235E-005</c:v>
                </c:pt>
                <c:pt idx="23">
                  <c:v>8.00993978379592E-005</c:v>
                </c:pt>
                <c:pt idx="24">
                  <c:v>8.29590095748576E-005</c:v>
                </c:pt>
                <c:pt idx="25">
                  <c:v>8.5773350678721E-005</c:v>
                </c:pt>
                <c:pt idx="26">
                  <c:v>8.85431378308348E-005</c:v>
                </c:pt>
                <c:pt idx="27">
                  <c:v>9.12690763666728E-005</c:v>
                </c:pt>
                <c:pt idx="28">
                  <c:v>9.39518604555138E-005</c:v>
                </c:pt>
                <c:pt idx="29">
                  <c:v>9.65921732772135E-005</c:v>
                </c:pt>
                <c:pt idx="30">
                  <c:v>9.91906871961787E-005</c:v>
                </c:pt>
                <c:pt idx="31">
                  <c:v>0.000101748063932587</c:v>
                </c:pt>
                <c:pt idx="32">
                  <c:v>0.000104264954730897</c:v>
                </c:pt>
                <c:pt idx="33">
                  <c:v>0.000106742000525688</c:v>
                </c:pt>
                <c:pt idx="34">
                  <c:v>0.000109179832104877</c:v>
                </c:pt>
                <c:pt idx="35">
                  <c:v>0.000111579070270353</c:v>
                </c:pt>
                <c:pt idx="36">
                  <c:v>0.000113940325996062</c:v>
                </c:pt>
                <c:pt idx="37">
                  <c:v>0.000116264200583597</c:v>
                </c:pt>
                <c:pt idx="38">
                  <c:v>0.000118551285815321</c:v>
                </c:pt>
                <c:pt idx="39">
                  <c:v>0.000120802164105063</c:v>
                </c:pt>
                <c:pt idx="40">
                  <c:v>0.000123017408646438</c:v>
                </c:pt>
                <c:pt idx="41">
                  <c:v>0.000125197583558807</c:v>
                </c:pt>
                <c:pt idx="42">
                  <c:v>0.000127343244030933</c:v>
                </c:pt>
                <c:pt idx="43">
                  <c:v>0.000129454936462364</c:v>
                </c:pt>
                <c:pt idx="44">
                  <c:v>0.000131533198602573</c:v>
                </c:pt>
                <c:pt idx="45">
                  <c:v>0.000133578559687899</c:v>
                </c:pt>
                <c:pt idx="46">
                  <c:v>0.000135591540576318</c:v>
                </c:pt>
                <c:pt idx="47">
                  <c:v>0.000137572653880082</c:v>
                </c:pt>
                <c:pt idx="48">
                  <c:v>0.000139522404096256</c:v>
                </c:pt>
                <c:pt idx="49">
                  <c:v>0.000141441287735193</c:v>
                </c:pt>
                <c:pt idx="50">
                  <c:v>0.000143329793446968</c:v>
                </c:pt>
                <c:pt idx="51">
                  <c:v>0.000145188402145817</c:v>
                </c:pt>
                <c:pt idx="52">
                  <c:v>0.000147017587132601</c:v>
                </c:pt>
                <c:pt idx="53">
                  <c:v>0.000148817814215339</c:v>
                </c:pt>
                <c:pt idx="54">
                  <c:v>0.000150589541827819</c:v>
                </c:pt>
                <c:pt idx="55">
                  <c:v>0.000152333221146348</c:v>
                </c:pt>
                <c:pt idx="56">
                  <c:v>0.00015404929620464</c:v>
                </c:pt>
                <c:pt idx="57">
                  <c:v>0.000155738204006895</c:v>
                </c:pt>
                <c:pt idx="58">
                  <c:v>0.00015740037463908</c:v>
                </c:pt>
                <c:pt idx="59">
                  <c:v>0.000159036231378451</c:v>
                </c:pt>
                <c:pt idx="60">
                  <c:v>0.000160646190801347</c:v>
                </c:pt>
                <c:pt idx="61">
                  <c:v>0.000162230662889269</c:v>
                </c:pt>
                <c:pt idx="62">
                  <c:v>0.000163790051133282</c:v>
                </c:pt>
                <c:pt idx="63">
                  <c:v>0.00016532475263677</c:v>
                </c:pt>
                <c:pt idx="64">
                  <c:v>0.000166835158216554</c:v>
                </c:pt>
                <c:pt idx="65">
                  <c:v>0.000168321652502418</c:v>
                </c:pt>
                <c:pt idx="66">
                  <c:v>0.000169784614035057</c:v>
                </c:pt>
                <c:pt idx="67">
                  <c:v>0.000171224415362471</c:v>
                </c:pt>
                <c:pt idx="68">
                  <c:v>0.000172641423134839</c:v>
                </c:pt>
                <c:pt idx="69">
                  <c:v>0.000174035998197884</c:v>
                </c:pt>
                <c:pt idx="70">
                  <c:v>0.000175408495684766</c:v>
                </c:pt>
                <c:pt idx="71">
                  <c:v>0.000176759265106516</c:v>
                </c:pt>
                <c:pt idx="72">
                  <c:v>0.000178088650441042</c:v>
                </c:pt>
                <c:pt idx="73">
                  <c:v>0.000179396990220725</c:v>
                </c:pt>
                <c:pt idx="74">
                  <c:v>0.000180684617618622</c:v>
                </c:pt>
                <c:pt idx="75">
                  <c:v>0.000181951860533318</c:v>
                </c:pt>
                <c:pt idx="76">
                  <c:v>0.000183199041672417</c:v>
                </c:pt>
                <c:pt idx="77">
                  <c:v>0.000184426478634729</c:v>
                </c:pt>
                <c:pt idx="78">
                  <c:v>0.000185634483991142</c:v>
                </c:pt>
                <c:pt idx="79">
                  <c:v>0.000186823365364223</c:v>
                </c:pt>
                <c:pt idx="80">
                  <c:v>0.000187993425506551</c:v>
                </c:pt>
                <c:pt idx="81">
                  <c:v>0.000189144962377817</c:v>
                </c:pt>
                <c:pt idx="82">
                  <c:v>0.000190278269220702</c:v>
                </c:pt>
                <c:pt idx="83">
                  <c:v>0.000191393634635546</c:v>
                </c:pt>
                <c:pt idx="84">
                  <c:v>0.000192491342653848</c:v>
                </c:pt>
                <c:pt idx="85">
                  <c:v>0.000193571672810592</c:v>
                </c:pt>
                <c:pt idx="86">
                  <c:v>0.000194634900215429</c:v>
                </c:pt>
                <c:pt idx="87">
                  <c:v>0.000195681295622742</c:v>
                </c:pt>
                <c:pt idx="88">
                  <c:v>0.000196711125500587</c:v>
                </c:pt>
                <c:pt idx="89">
                  <c:v>0.000197724652098554</c:v>
                </c:pt>
                <c:pt idx="90">
                  <c:v>0.000198722133514549</c:v>
                </c:pt>
                <c:pt idx="91">
                  <c:v>0.00019970382376052</c:v>
                </c:pt>
                <c:pt idx="92">
                  <c:v>0.000200669972827138</c:v>
                </c:pt>
                <c:pt idx="93">
                  <c:v>0.000201620826747465</c:v>
                </c:pt>
                <c:pt idx="94">
                  <c:v>0.000202556627659602</c:v>
                </c:pt>
                <c:pt idx="95">
                  <c:v>0.000203477613868351</c:v>
                </c:pt>
                <c:pt idx="96">
                  <c:v>0.0002043840199059</c:v>
                </c:pt>
                <c:pt idx="97">
                  <c:v>0.000205276076591551</c:v>
                </c:pt>
                <c:pt idx="98">
                  <c:v>0.000206154011090493</c:v>
                </c:pt>
                <c:pt idx="99">
                  <c:v>0.000207018046971655</c:v>
                </c:pt>
                <c:pt idx="100">
                  <c:v>0.000207868404264637</c:v>
                </c:pt>
                <c:pt idx="101">
                  <c:v>0.00020870529951574</c:v>
                </c:pt>
                <c:pt idx="102">
                  <c:v>0.000209528945843112</c:v>
                </c:pt>
                <c:pt idx="103">
                  <c:v>0.00021033955299102</c:v>
                </c:pt>
                <c:pt idx="104">
                  <c:v>0.000211137327383258</c:v>
                </c:pt>
                <c:pt idx="105">
                  <c:v>0.000211922472175718</c:v>
                </c:pt>
                <c:pt idx="106">
                  <c:v>0.000212695187308124</c:v>
                </c:pt>
                <c:pt idx="107">
                  <c:v>0.000213455669554943</c:v>
                </c:pt>
                <c:pt idx="108">
                  <c:v>0.000214204112575499</c:v>
                </c:pt>
                <c:pt idx="109">
                  <c:v>0.000214940706963286</c:v>
                </c:pt>
                <c:pt idx="110">
                  <c:v>0.000215665640294506</c:v>
                </c:pt>
                <c:pt idx="111">
                  <c:v>0.000216379097175833</c:v>
                </c:pt>
                <c:pt idx="112">
                  <c:v>0.000217081259291424</c:v>
                </c:pt>
                <c:pt idx="113">
                  <c:v>0.00021777230544919</c:v>
                </c:pt>
                <c:pt idx="114">
                  <c:v>0.000218452411626323</c:v>
                </c:pt>
                <c:pt idx="115">
                  <c:v>0.000219121751014114</c:v>
                </c:pt>
                <c:pt idx="116">
                  <c:v>0.000219780494062057</c:v>
                </c:pt>
                <c:pt idx="117">
                  <c:v>0.000220428808521249</c:v>
                </c:pt>
                <c:pt idx="118">
                  <c:v>0.000221066859487117</c:v>
                </c:pt>
                <c:pt idx="119">
                  <c:v>0.000221694809441452</c:v>
                </c:pt>
                <c:pt idx="120">
                  <c:v>0.000222312818293791</c:v>
                </c:pt>
                <c:pt idx="121">
                  <c:v>0.000222921043422134</c:v>
                </c:pt>
                <c:pt idx="122">
                  <c:v>0.000223519639713027</c:v>
                </c:pt>
                <c:pt idx="123">
                  <c:v>0.000224108759600996</c:v>
                </c:pt>
                <c:pt idx="124">
                  <c:v>0.000224688553107375</c:v>
                </c:pt>
                <c:pt idx="125">
                  <c:v>0.000225259167878498</c:v>
                </c:pt>
                <c:pt idx="126">
                  <c:v>0.00022582074922331</c:v>
                </c:pt>
                <c:pt idx="127">
                  <c:v>0.000226373440150358</c:v>
                </c:pt>
                <c:pt idx="128">
                  <c:v>0.000226917381404219</c:v>
                </c:pt>
                <c:pt idx="129">
                  <c:v>0.000227452711501336</c:v>
                </c:pt>
                <c:pt idx="130">
                  <c:v>0.00022797956676529</c:v>
                </c:pt>
                <c:pt idx="131">
                  <c:v>0.00022849808136152</c:v>
                </c:pt>
                <c:pt idx="132">
                  <c:v>0.000229008387331485</c:v>
                </c:pt>
                <c:pt idx="133">
                  <c:v>0.000229510614626292</c:v>
                </c:pt>
                <c:pt idx="134">
                  <c:v>0.000230004891139785</c:v>
                </c:pt>
                <c:pt idx="135">
                  <c:v>0.000230491342741116</c:v>
                </c:pt>
                <c:pt idx="136">
                  <c:v>0.000230970093306795</c:v>
                </c:pt>
                <c:pt idx="137">
                  <c:v>0.000231441264752242</c:v>
                </c:pt>
                <c:pt idx="138">
                  <c:v>0.000231904977062825</c:v>
                </c:pt>
                <c:pt idx="139">
                  <c:v>0.00023236134832442</c:v>
                </c:pt>
                <c:pt idx="140">
                  <c:v>0.000232810494753481</c:v>
                </c:pt>
                <c:pt idx="141">
                  <c:v>0.000233252530726634</c:v>
                </c:pt>
                <c:pt idx="142">
                  <c:v>0.000233687568809804</c:v>
                </c:pt>
                <c:pt idx="143">
                  <c:v>0.00023411571978688</c:v>
                </c:pt>
                <c:pt idx="144">
                  <c:v>0.000234537092687927</c:v>
                </c:pt>
                <c:pt idx="145">
                  <c:v>0.00023495179481695</c:v>
                </c:pt>
                <c:pt idx="146">
                  <c:v>0.00023535993177922</c:v>
                </c:pt>
                <c:pt idx="147">
                  <c:v>0.000235761607508166</c:v>
                </c:pt>
                <c:pt idx="148">
                  <c:v>0.000236156924291844</c:v>
                </c:pt>
                <c:pt idx="149">
                  <c:v>0.000236545982798982</c:v>
                </c:pt>
                <c:pt idx="150">
                  <c:v>0.000236928882104617</c:v>
                </c:pt>
                <c:pt idx="151">
                  <c:v>0.000237305719715327</c:v>
                </c:pt>
                <c:pt idx="152">
                  <c:v>0.000237676591594057</c:v>
                </c:pt>
                <c:pt idx="153">
                  <c:v>0.00023804159218456</c:v>
                </c:pt>
                <c:pt idx="154">
                  <c:v>0.000238400814435445</c:v>
                </c:pt>
                <c:pt idx="155">
                  <c:v>0.000238754349823849</c:v>
                </c:pt>
                <c:pt idx="156">
                  <c:v>0.00023910228837873</c:v>
                </c:pt>
                <c:pt idx="157">
                  <c:v>0.000239444718703792</c:v>
                </c:pt>
                <c:pt idx="158">
                  <c:v>0.000239781728000054</c:v>
                </c:pt>
                <c:pt idx="159">
                  <c:v>0.000240113402088048</c:v>
                </c:pt>
                <c:pt idx="160">
                  <c:v>0.000240439825429679</c:v>
                </c:pt>
                <c:pt idx="161">
                  <c:v>0.000240761081149734</c:v>
                </c:pt>
                <c:pt idx="162">
                  <c:v>0.000241077251057046</c:v>
                </c:pt>
                <c:pt idx="163">
                  <c:v>0.000241388415665328</c:v>
                </c:pt>
                <c:pt idx="164">
                  <c:v>0.000241694654213679</c:v>
                </c:pt>
                <c:pt idx="165">
                  <c:v>0.00024199604468676</c:v>
                </c:pt>
                <c:pt idx="166">
                  <c:v>0.000242292663834654</c:v>
                </c:pt>
                <c:pt idx="167">
                  <c:v>0.000242584587192408</c:v>
                </c:pt>
                <c:pt idx="168">
                  <c:v>0.000242871889099274</c:v>
                </c:pt>
                <c:pt idx="169">
                  <c:v>0.000243154642717633</c:v>
                </c:pt>
                <c:pt idx="170">
                  <c:v>0.000243432920051631</c:v>
                </c:pt>
                <c:pt idx="171">
                  <c:v>0.000243706791965514</c:v>
                </c:pt>
                <c:pt idx="172">
                  <c:v>0.00024397632820167</c:v>
                </c:pt>
                <c:pt idx="173">
                  <c:v>0.000244241597398397</c:v>
                </c:pt>
                <c:pt idx="174">
                  <c:v>0.000244502667107373</c:v>
                </c:pt>
                <c:pt idx="175">
                  <c:v>0.000244759603810864</c:v>
                </c:pt>
                <c:pt idx="176">
                  <c:v>0.000245012472938654</c:v>
                </c:pt>
                <c:pt idx="177">
                  <c:v>0.000245261338884703</c:v>
                </c:pt>
                <c:pt idx="178">
                  <c:v>0.00024550626502355</c:v>
                </c:pt>
                <c:pt idx="179">
                  <c:v>0.000245747313726446</c:v>
                </c:pt>
                <c:pt idx="180">
                  <c:v>0.000245984546377242</c:v>
                </c:pt>
                <c:pt idx="181">
                  <c:v>0.00024621802338802</c:v>
                </c:pt>
                <c:pt idx="182">
                  <c:v>0.000246447804214473</c:v>
                </c:pt>
                <c:pt idx="183">
                  <c:v>0.000246673947371049</c:v>
                </c:pt>
                <c:pt idx="184">
                  <c:v>0.000246896510445854</c:v>
                </c:pt>
                <c:pt idx="185">
                  <c:v>0.00024711555011531</c:v>
                </c:pt>
                <c:pt idx="186">
                  <c:v>0.000247331122158596</c:v>
                </c:pt>
                <c:pt idx="187">
                  <c:v>0.000247543281471847</c:v>
                </c:pt>
                <c:pt idx="188">
                  <c:v>0.000247752082082134</c:v>
                </c:pt>
                <c:pt idx="189">
                  <c:v>0.000247957577161225</c:v>
                </c:pt>
                <c:pt idx="190">
                  <c:v>0.000248159819039122</c:v>
                </c:pt>
                <c:pt idx="191">
                  <c:v>0.00024835885921739</c:v>
                </c:pt>
                <c:pt idx="192">
                  <c:v>0.000248554748382269</c:v>
                </c:pt>
                <c:pt idx="193">
                  <c:v>0.000248747536417584</c:v>
                </c:pt>
                <c:pt idx="194">
                  <c:v>0.000248937272417446</c:v>
                </c:pt>
                <c:pt idx="195">
                  <c:v>0.000249124004698758</c:v>
                </c:pt>
                <c:pt idx="196">
                  <c:v>0.000249307780813512</c:v>
                </c:pt>
                <c:pt idx="197">
                  <c:v>0.000249488647560906</c:v>
                </c:pt>
                <c:pt idx="198">
                  <c:v>0.000249666650999255</c:v>
                </c:pt>
                <c:pt idx="199">
                  <c:v>0.000249841836457726</c:v>
                </c:pt>
                <c:pt idx="200">
                  <c:v>0.000250014248547874</c:v>
                </c:pt>
                <c:pt idx="201">
                  <c:v>0.000250183931175011</c:v>
                </c:pt>
                <c:pt idx="202">
                  <c:v>0.000250350927549379</c:v>
                </c:pt>
                <c:pt idx="203">
                  <c:v>0.000250515280197159</c:v>
                </c:pt>
                <c:pt idx="204">
                  <c:v>0.000250677030971296</c:v>
                </c:pt>
                <c:pt idx="205">
                  <c:v>0.000250836221062161</c:v>
                </c:pt>
                <c:pt idx="206">
                  <c:v>0.000250992891008038</c:v>
                </c:pt>
                <c:pt idx="207">
                  <c:v>0.000251147080705447</c:v>
                </c:pt>
                <c:pt idx="208">
                  <c:v>0.000251298829419307</c:v>
                </c:pt>
                <c:pt idx="209">
                  <c:v>0.000251448175792929</c:v>
                </c:pt>
                <c:pt idx="210">
                  <c:v>0.000251595157857863</c:v>
                </c:pt>
                <c:pt idx="211">
                  <c:v>0.000251739813043578</c:v>
                </c:pt>
                <c:pt idx="212">
                  <c:v>0.000251882178186997</c:v>
                </c:pt>
                <c:pt idx="213">
                  <c:v>0.000252022289541874</c:v>
                </c:pt>
                <c:pt idx="214">
                  <c:v>0.000252160182788031</c:v>
                </c:pt>
                <c:pt idx="215">
                  <c:v>0.00025229589304044</c:v>
                </c:pt>
                <c:pt idx="216">
                  <c:v>0.000252429454858165</c:v>
                </c:pt>
                <c:pt idx="217">
                  <c:v>0.000252560902253166</c:v>
                </c:pt>
                <c:pt idx="218">
                  <c:v>0.000252690268698959</c:v>
                </c:pt>
                <c:pt idx="219">
                  <c:v>0.000252817587139136</c:v>
                </c:pt>
                <c:pt idx="220">
                  <c:v>0.00025294288999576</c:v>
                </c:pt>
                <c:pt idx="221">
                  <c:v>0.000253066209177619</c:v>
                </c:pt>
                <c:pt idx="222">
                  <c:v>0.000253187576088352</c:v>
                </c:pt>
                <c:pt idx="223">
                  <c:v>0.000253307021634443</c:v>
                </c:pt>
                <c:pt idx="224">
                  <c:v>0.000253424576233098</c:v>
                </c:pt>
                <c:pt idx="225">
                  <c:v>0.000253540269819983</c:v>
                </c:pt>
                <c:pt idx="226">
                  <c:v>0.000253654131856854</c:v>
                </c:pt>
                <c:pt idx="227">
                  <c:v>0.000253766191339057</c:v>
                </c:pt>
                <c:pt idx="228">
                  <c:v>0.000253876476802909</c:v>
                </c:pt>
                <c:pt idx="229">
                  <c:v>0.000253985016332968</c:v>
                </c:pt>
                <c:pt idx="230">
                  <c:v>0.000254091837569187</c:v>
                </c:pt>
                <c:pt idx="231">
                  <c:v>0.000254196967713947</c:v>
                </c:pt>
                <c:pt idx="232">
                  <c:v>0.000254300433538987</c:v>
                </c:pt>
                <c:pt idx="233">
                  <c:v>0.000254402261392222</c:v>
                </c:pt>
                <c:pt idx="234">
                  <c:v>0.000254502477204453</c:v>
                </c:pt>
                <c:pt idx="235">
                  <c:v>0.000254601106495969</c:v>
                </c:pt>
                <c:pt idx="236">
                  <c:v>0.000254698174383044</c:v>
                </c:pt>
                <c:pt idx="237">
                  <c:v>0.000254793705584338</c:v>
                </c:pt>
                <c:pt idx="238">
                  <c:v>0.000254887724427188</c:v>
                </c:pt>
                <c:pt idx="239">
                  <c:v>0.000254980254853804</c:v>
                </c:pt>
                <c:pt idx="240">
                  <c:v>0.000255071320427365</c:v>
                </c:pt>
                <c:pt idx="241">
                  <c:v>0.000255160944338021</c:v>
                </c:pt>
                <c:pt idx="242">
                  <c:v>0.000255249149408798</c:v>
                </c:pt>
                <c:pt idx="243">
                  <c:v>0.000255335958101411</c:v>
                </c:pt>
                <c:pt idx="244">
                  <c:v>0.000255421392521978</c:v>
                </c:pt>
                <c:pt idx="245">
                  <c:v>0.00025550547442666</c:v>
                </c:pt>
                <c:pt idx="246">
                  <c:v>0.000255588225227191</c:v>
                </c:pt>
                <c:pt idx="247">
                  <c:v>0.000255669665996338</c:v>
                </c:pt>
                <c:pt idx="248">
                  <c:v>0.000255749817473261</c:v>
                </c:pt>
                <c:pt idx="249">
                  <c:v>0.000255828700068799</c:v>
                </c:pt>
                <c:pt idx="250">
                  <c:v>0.000255906333870668</c:v>
                </c:pt>
                <c:pt idx="251">
                  <c:v>0.000255982738648572</c:v>
                </c:pt>
                <c:pt idx="252">
                  <c:v>0.00025605793385924</c:v>
                </c:pt>
                <c:pt idx="253">
                  <c:v>0.000256131938651383</c:v>
                </c:pt>
                <c:pt idx="254">
                  <c:v>0.000256204771870565</c:v>
                </c:pt>
                <c:pt idx="255">
                  <c:v>0.000256276452064008</c:v>
                </c:pt>
                <c:pt idx="256">
                  <c:v>0.000256346997485309</c:v>
                </c:pt>
                <c:pt idx="257">
                  <c:v>0.000256416426099095</c:v>
                </c:pt>
                <c:pt idx="258">
                  <c:v>0.000256484755585592</c:v>
                </c:pt>
                <c:pt idx="259">
                  <c:v>0.000256552003345129</c:v>
                </c:pt>
                <c:pt idx="260">
                  <c:v>0.000256618186502572</c:v>
                </c:pt>
                <c:pt idx="261">
                  <c:v>0.00025668332191168</c:v>
                </c:pt>
                <c:pt idx="262">
                  <c:v>0.000256747426159402</c:v>
                </c:pt>
                <c:pt idx="263">
                  <c:v>0.000256810515570097</c:v>
                </c:pt>
                <c:pt idx="264">
                  <c:v>0.000256872606209692</c:v>
                </c:pt>
                <c:pt idx="265">
                  <c:v>0.000256933713889774</c:v>
                </c:pt>
                <c:pt idx="266">
                  <c:v>0.000256993854171616</c:v>
                </c:pt>
                <c:pt idx="267">
                  <c:v>0.00025705304237014</c:v>
                </c:pt>
                <c:pt idx="268">
                  <c:v>0.000257111293557818</c:v>
                </c:pt>
                <c:pt idx="269">
                  <c:v>0.000257168622568506</c:v>
                </c:pt>
                <c:pt idx="270">
                  <c:v>0.000257225044001228</c:v>
                </c:pt>
                <c:pt idx="271">
                  <c:v>0.000257280572223888</c:v>
                </c:pt>
                <c:pt idx="272">
                  <c:v>0.000257335221376933</c:v>
                </c:pt>
                <c:pt idx="273">
                  <c:v>0.000257389005376949</c:v>
                </c:pt>
                <c:pt idx="274">
                  <c:v>0.000257441937920211</c:v>
                </c:pt>
                <c:pt idx="275">
                  <c:v>0.000257494032486167</c:v>
                </c:pt>
                <c:pt idx="276">
                  <c:v>0.000257545302340869</c:v>
                </c:pt>
                <c:pt idx="277">
                  <c:v>0.000257595760540357</c:v>
                </c:pt>
                <c:pt idx="278">
                  <c:v>0.000257645419933978</c:v>
                </c:pt>
                <c:pt idx="279">
                  <c:v>0.000257694293167661</c:v>
                </c:pt>
                <c:pt idx="280">
                  <c:v>0.000257742392687137</c:v>
                </c:pt>
                <c:pt idx="281">
                  <c:v>0.000257789730741108</c:v>
                </c:pt>
                <c:pt idx="282">
                  <c:v>0.000257836319384366</c:v>
                </c:pt>
                <c:pt idx="283">
                  <c:v>0.000257882170480864</c:v>
                </c:pt>
                <c:pt idx="284">
                  <c:v>0.000257927295706735</c:v>
                </c:pt>
                <c:pt idx="285">
                  <c:v>0.000257971706553268</c:v>
                </c:pt>
                <c:pt idx="286">
                  <c:v>0.000258015414329831</c:v>
                </c:pt>
                <c:pt idx="287">
                  <c:v>0.000258058430166755</c:v>
                </c:pt>
                <c:pt idx="288">
                  <c:v>0.000258100765018165</c:v>
                </c:pt>
                <c:pt idx="289">
                  <c:v>0.000258142429664771</c:v>
                </c:pt>
                <c:pt idx="290">
                  <c:v>0.000258183434716614</c:v>
                </c:pt>
                <c:pt idx="291">
                  <c:v>0.000258223790615766</c:v>
                </c:pt>
                <c:pt idx="292">
                  <c:v>0.000258263507638991</c:v>
                </c:pt>
                <c:pt idx="293">
                  <c:v>0.000258302595900359</c:v>
                </c:pt>
                <c:pt idx="294">
                  <c:v>0.000258341065353826</c:v>
                </c:pt>
                <c:pt idx="295">
                  <c:v>0.000258378925795766</c:v>
                </c:pt>
                <c:pt idx="296">
                  <c:v>0.000258416186867465</c:v>
                </c:pt>
                <c:pt idx="297">
                  <c:v>0.00025845285805758</c:v>
                </c:pt>
                <c:pt idx="298">
                  <c:v>0.00025848894870455</c:v>
                </c:pt>
                <c:pt idx="299">
                  <c:v>0.000258524467998979</c:v>
                </c:pt>
                <c:pt idx="300">
                  <c:v>0.000258559424985971</c:v>
                </c:pt>
                <c:pt idx="301">
                  <c:v>0.000258593828567439</c:v>
                </c:pt>
                <c:pt idx="302">
                  <c:v>0.000258627687504371</c:v>
                </c:pt>
                <c:pt idx="303">
                  <c:v>0.000258661010419055</c:v>
                </c:pt>
                <c:pt idx="304">
                  <c:v>0.000258693805797283</c:v>
                </c:pt>
                <c:pt idx="305">
                  <c:v>0.000258726081990506</c:v>
                </c:pt>
                <c:pt idx="306">
                  <c:v>0.000258757847217964</c:v>
                </c:pt>
                <c:pt idx="307">
                  <c:v>0.000258789109568777</c:v>
                </c:pt>
                <c:pt idx="308">
                  <c:v>0.000258819877004007</c:v>
                </c:pt>
                <c:pt idx="309">
                  <c:v>0.000258850157358682</c:v>
                </c:pt>
                <c:pt idx="310">
                  <c:v>0.000258879958343796</c:v>
                </c:pt>
                <c:pt idx="311">
                  <c:v>0.000258909287548268</c:v>
                </c:pt>
                <c:pt idx="312">
                  <c:v>0.000258938152440877</c:v>
                </c:pt>
                <c:pt idx="313">
                  <c:v>0.000258966560372163</c:v>
                </c:pt>
                <c:pt idx="314">
                  <c:v>0.000258994518576301</c:v>
                </c:pt>
                <c:pt idx="315">
                  <c:v>0.000259022034172939</c:v>
                </c:pt>
                <c:pt idx="316">
                  <c:v>0.000259049114169016</c:v>
                </c:pt>
                <c:pt idx="317">
                  <c:v>0.000259075765460543</c:v>
                </c:pt>
                <c:pt idx="318">
                  <c:v>0.000259101994834358</c:v>
                </c:pt>
                <c:pt idx="319">
                  <c:v>0.000259127808969859</c:v>
                </c:pt>
                <c:pt idx="320">
                  <c:v>0.000259153214440701</c:v>
                </c:pt>
                <c:pt idx="321">
                  <c:v>0.000259178217716472</c:v>
                </c:pt>
                <c:pt idx="322">
                  <c:v>0.000259202825164337</c:v>
                </c:pt>
                <c:pt idx="323">
                  <c:v>0.000259227043050666</c:v>
                </c:pt>
                <c:pt idx="324">
                  <c:v>0.000259250877542624</c:v>
                </c:pt>
                <c:pt idx="325">
                  <c:v>0.000259274334709742</c:v>
                </c:pt>
                <c:pt idx="326">
                  <c:v>0.000259297420525467</c:v>
                </c:pt>
                <c:pt idx="327">
                  <c:v>0.000259320140868676</c:v>
                </c:pt>
                <c:pt idx="328">
                  <c:v>0.000259342501525182</c:v>
                </c:pt>
                <c:pt idx="329">
                  <c:v>0.0002593645081892</c:v>
                </c:pt>
                <c:pt idx="330">
                  <c:v>0.000259386166464798</c:v>
                </c:pt>
                <c:pt idx="331">
                  <c:v>0.00025940748186733</c:v>
                </c:pt>
                <c:pt idx="332">
                  <c:v>0.000259428459824832</c:v>
                </c:pt>
                <c:pt idx="333">
                  <c:v>0.000259449105679412</c:v>
                </c:pt>
                <c:pt idx="334">
                  <c:v>0.000259469424688604</c:v>
                </c:pt>
                <c:pt idx="335">
                  <c:v>0.000259489422026712</c:v>
                </c:pt>
                <c:pt idx="336">
                  <c:v>0.000259509102786123</c:v>
                </c:pt>
                <c:pt idx="337">
                  <c:v>0.000259528471978609</c:v>
                </c:pt>
                <c:pt idx="338">
                  <c:v>0.000259547534536599</c:v>
                </c:pt>
                <c:pt idx="339">
                  <c:v>0.000259566295314435</c:v>
                </c:pt>
                <c:pt idx="340">
                  <c:v>0.000259584759089612</c:v>
                </c:pt>
                <c:pt idx="341">
                  <c:v>0.000259602930563993</c:v>
                </c:pt>
                <c:pt idx="342">
                  <c:v>0.000259620814365002</c:v>
                </c:pt>
                <c:pt idx="343">
                  <c:v>0.000259638415046809</c:v>
                </c:pt>
                <c:pt idx="344">
                  <c:v>0.000259655737091487</c:v>
                </c:pt>
                <c:pt idx="345">
                  <c:v>0.00025967278491015</c:v>
                </c:pt>
                <c:pt idx="346">
                  <c:v>0.000259689562844083</c:v>
                </c:pt>
                <c:pt idx="347">
                  <c:v>0.000259706075165842</c:v>
                </c:pt>
                <c:pt idx="348">
                  <c:v>0.000259722326080345</c:v>
                </c:pt>
                <c:pt idx="349">
                  <c:v>0.00025973831972594</c:v>
                </c:pt>
                <c:pt idx="350">
                  <c:v>0.000259754060175462</c:v>
                </c:pt>
                <c:pt idx="351">
                  <c:v>0.00025976955143727</c:v>
                </c:pt>
                <c:pt idx="352">
                  <c:v>0.000259784797456264</c:v>
                </c:pt>
                <c:pt idx="353">
                  <c:v>0.000259799802114894</c:v>
                </c:pt>
                <c:pt idx="354">
                  <c:v>0.000259814569234145</c:v>
                </c:pt>
                <c:pt idx="355">
                  <c:v>0.000259829102574513</c:v>
                </c:pt>
                <c:pt idx="356">
                  <c:v>0.000259843405836962</c:v>
                </c:pt>
                <c:pt idx="357">
                  <c:v>0.000259857482663865</c:v>
                </c:pt>
                <c:pt idx="358">
                  <c:v>0.000259871336639932</c:v>
                </c:pt>
                <c:pt idx="359">
                  <c:v>0.000259884971293125</c:v>
                </c:pt>
                <c:pt idx="360">
                  <c:v>0.000259898390095553</c:v>
                </c:pt>
                <c:pt idx="361">
                  <c:v>0.000259911596464358</c:v>
                </c:pt>
                <c:pt idx="362">
                  <c:v>0.000259924593762585</c:v>
                </c:pt>
                <c:pt idx="363">
                  <c:v>0.000259937385300042</c:v>
                </c:pt>
                <c:pt idx="364">
                  <c:v>0.000259949974334133</c:v>
                </c:pt>
                <c:pt idx="365">
                  <c:v>0.000259962364070699</c:v>
                </c:pt>
                <c:pt idx="366">
                  <c:v>0.000259974557664827</c:v>
                </c:pt>
                <c:pt idx="367">
                  <c:v>0.000259986558221656</c:v>
                </c:pt>
                <c:pt idx="368">
                  <c:v>0.000259998368797169</c:v>
                </c:pt>
                <c:pt idx="369">
                  <c:v>0.000260009992398966</c:v>
                </c:pt>
                <c:pt idx="370">
                  <c:v>0.000260021431987037</c:v>
                </c:pt>
                <c:pt idx="371">
                  <c:v>0.00026003269047451</c:v>
                </c:pt>
                <c:pt idx="372">
                  <c:v>0.000260043770728398</c:v>
                </c:pt>
                <c:pt idx="373">
                  <c:v>0.000260054675570322</c:v>
                </c:pt>
                <c:pt idx="374">
                  <c:v>0.000260065407777238</c:v>
                </c:pt>
                <c:pt idx="375">
                  <c:v>0.000260075970082137</c:v>
                </c:pt>
                <c:pt idx="376">
                  <c:v>0.000260086365174746</c:v>
                </c:pt>
                <c:pt idx="377">
                  <c:v>0.000260096595702208</c:v>
                </c:pt>
                <c:pt idx="378">
                  <c:v>0.000260106664269763</c:v>
                </c:pt>
                <c:pt idx="379">
                  <c:v>0.000260116573441403</c:v>
                </c:pt>
                <c:pt idx="380">
                  <c:v>0.000260126325740532</c:v>
                </c:pt>
                <c:pt idx="381">
                  <c:v>0.000260135923650606</c:v>
                </c:pt>
                <c:pt idx="382">
                  <c:v>0.000260145369615764</c:v>
                </c:pt>
                <c:pt idx="383">
                  <c:v>0.000260154666041452</c:v>
                </c:pt>
                <c:pt idx="384">
                  <c:v>0.000260163815295037</c:v>
                </c:pt>
                <c:pt idx="385">
                  <c:v>0.000260172819706405</c:v>
                </c:pt>
                <c:pt idx="386">
                  <c:v>0.00026018168156856</c:v>
                </c:pt>
                <c:pt idx="387">
                  <c:v>0.000260190403138205</c:v>
                </c:pt>
                <c:pt idx="388">
                  <c:v>0.000260198986636316</c:v>
                </c:pt>
                <c:pt idx="389">
                  <c:v>0.000260207434248709</c:v>
                </c:pt>
                <c:pt idx="390">
                  <c:v>0.000260215748126597</c:v>
                </c:pt>
                <c:pt idx="391">
                  <c:v>0.000260223930387136</c:v>
                </c:pt>
                <c:pt idx="392">
                  <c:v>0.000260231983113966</c:v>
                </c:pt>
                <c:pt idx="393">
                  <c:v>0.000260239908357741</c:v>
                </c:pt>
                <c:pt idx="394">
                  <c:v>0.00026024770813665</c:v>
                </c:pt>
                <c:pt idx="395">
                  <c:v>0.000260255384436933</c:v>
                </c:pt>
                <c:pt idx="396">
                  <c:v>0.000260262939213386</c:v>
                </c:pt>
                <c:pt idx="397">
                  <c:v>0.000260270374389856</c:v>
                </c:pt>
                <c:pt idx="398">
                  <c:v>0.000260277691859736</c:v>
                </c:pt>
                <c:pt idx="399">
                  <c:v>0.000260284893486445</c:v>
                </c:pt>
                <c:pt idx="400">
                  <c:v>0.000260291981103899</c:v>
                </c:pt>
                <c:pt idx="401">
                  <c:v>0.000260298956516986</c:v>
                </c:pt>
                <c:pt idx="402">
                  <c:v>0.000260305821502016</c:v>
                </c:pt>
                <c:pt idx="403">
                  <c:v>0.000260312577807181</c:v>
                </c:pt>
                <c:pt idx="404">
                  <c:v>0.000260319227152996</c:v>
                </c:pt>
                <c:pt idx="405">
                  <c:v>0.000260325771232739</c:v>
                </c:pt>
                <c:pt idx="406">
                  <c:v>0.000260332211712883</c:v>
                </c:pt>
                <c:pt idx="407">
                  <c:v>0.000260338550233515</c:v>
                </c:pt>
                <c:pt idx="408">
                  <c:v>0.000260344788408762</c:v>
                </c:pt>
                <c:pt idx="409">
                  <c:v>0.000260350927827197</c:v>
                </c:pt>
                <c:pt idx="410">
                  <c:v>0.00026035697005224</c:v>
                </c:pt>
                <c:pt idx="411">
                  <c:v>0.000260362916622567</c:v>
                </c:pt>
                <c:pt idx="412">
                  <c:v>0.00026036876905249</c:v>
                </c:pt>
                <c:pt idx="413">
                  <c:v>0.00026037452883235</c:v>
                </c:pt>
                <c:pt idx="414">
                  <c:v>0.000260380197428894</c:v>
                </c:pt>
                <c:pt idx="415">
                  <c:v>0.000260385776285649</c:v>
                </c:pt>
                <c:pt idx="416">
                  <c:v>0.000260391266823289</c:v>
                </c:pt>
                <c:pt idx="417">
                  <c:v>0.000260396670439999</c:v>
                </c:pt>
                <c:pt idx="418">
                  <c:v>0.000260401988511826</c:v>
                </c:pt>
                <c:pt idx="419">
                  <c:v>0.000260407222393035</c:v>
                </c:pt>
                <c:pt idx="420">
                  <c:v>0.000260412373416452</c:v>
                </c:pt>
                <c:pt idx="421">
                  <c:v>0.000260417442893802</c:v>
                </c:pt>
                <c:pt idx="422">
                  <c:v>0.000260422432116044</c:v>
                </c:pt>
                <c:pt idx="423">
                  <c:v>0.0002604273423537</c:v>
                </c:pt>
                <c:pt idx="424">
                  <c:v>0.000260432174857178</c:v>
                </c:pt>
                <c:pt idx="425">
                  <c:v>0.000260436930857092</c:v>
                </c:pt>
                <c:pt idx="426">
                  <c:v>0.000260441611564572</c:v>
                </c:pt>
                <c:pt idx="427">
                  <c:v>0.000260446218171576</c:v>
                </c:pt>
                <c:pt idx="428">
                  <c:v>0.000260450751851191</c:v>
                </c:pt>
                <c:pt idx="429">
                  <c:v>0.000260455213757935</c:v>
                </c:pt>
                <c:pt idx="430">
                  <c:v>0.000260459605028047</c:v>
                </c:pt>
                <c:pt idx="431">
                  <c:v>0.000260463926779778</c:v>
                </c:pt>
                <c:pt idx="432">
                  <c:v>0.000260468180113677</c:v>
                </c:pt>
                <c:pt idx="433">
                  <c:v>0.000260472366112868</c:v>
                </c:pt>
                <c:pt idx="434">
                  <c:v>0.000260476485843331</c:v>
                </c:pt>
                <c:pt idx="435">
                  <c:v>0.000260480540354169</c:v>
                </c:pt>
                <c:pt idx="436">
                  <c:v>0.000260484530677877</c:v>
                </c:pt>
                <c:pt idx="437">
                  <c:v>0.000260488457830602</c:v>
                </c:pt>
                <c:pt idx="438">
                  <c:v>0.000260492322812409</c:v>
                </c:pt>
                <c:pt idx="439">
                  <c:v>0.000260496126607527</c:v>
                </c:pt>
                <c:pt idx="440">
                  <c:v>0.000260499870184605</c:v>
                </c:pt>
                <c:pt idx="441">
                  <c:v>0.000260503554496958</c:v>
                </c:pt>
                <c:pt idx="442">
                  <c:v>0.000260507180482808</c:v>
                </c:pt>
                <c:pt idx="443">
                  <c:v>0.000260510749065525</c:v>
                </c:pt>
                <c:pt idx="444">
                  <c:v>0.000260514261153859</c:v>
                </c:pt>
                <c:pt idx="445">
                  <c:v>0.000260517717642175</c:v>
                </c:pt>
                <c:pt idx="446">
                  <c:v>0.000260521119410681</c:v>
                </c:pt>
                <c:pt idx="447">
                  <c:v>0.000260524467325647</c:v>
                </c:pt>
                <c:pt idx="448">
                  <c:v>0.000260527762239631</c:v>
                </c:pt>
                <c:pt idx="449">
                  <c:v>0.000260531004991694</c:v>
                </c:pt>
                <c:pt idx="450">
                  <c:v>0.000260534196407614</c:v>
                </c:pt>
                <c:pt idx="451">
                  <c:v>0.000260537337300094</c:v>
                </c:pt>
                <c:pt idx="452">
                  <c:v>0.000260540428468975</c:v>
                </c:pt>
                <c:pt idx="453">
                  <c:v>0.000260543470701431</c:v>
                </c:pt>
                <c:pt idx="454">
                  <c:v>0.000260546464772178</c:v>
                </c:pt>
                <c:pt idx="455">
                  <c:v>0.000260549411443666</c:v>
                </c:pt>
                <c:pt idx="456">
                  <c:v>0.000260552311466275</c:v>
                </c:pt>
                <c:pt idx="457">
                  <c:v>0.000260555165578504</c:v>
                </c:pt>
                <c:pt idx="458">
                  <c:v>0.000260557974507163</c:v>
                </c:pt>
                <c:pt idx="459">
                  <c:v>0.000260560738967555</c:v>
                </c:pt>
                <c:pt idx="460">
                  <c:v>0.000260563459663658</c:v>
                </c:pt>
                <c:pt idx="461">
                  <c:v>0.000260566137288308</c:v>
                </c:pt>
                <c:pt idx="462">
                  <c:v>0.00026056877252337</c:v>
                </c:pt>
                <c:pt idx="463">
                  <c:v>0.000260571366039916</c:v>
                </c:pt>
                <c:pt idx="464">
                  <c:v>0.000260573918498393</c:v>
                </c:pt>
                <c:pt idx="465">
                  <c:v>0.000260576430548792</c:v>
                </c:pt>
                <c:pt idx="466">
                  <c:v>0.000260578902830817</c:v>
                </c:pt>
                <c:pt idx="467">
                  <c:v>0.000260581335974042</c:v>
                </c:pt>
                <c:pt idx="468">
                  <c:v>0.000260583730598074</c:v>
                </c:pt>
                <c:pt idx="469">
                  <c:v>0.000260586087312713</c:v>
                </c:pt>
                <c:pt idx="470">
                  <c:v>0.000260588406718104</c:v>
                </c:pt>
                <c:pt idx="471">
                  <c:v>0.000260590689404892</c:v>
                </c:pt>
                <c:pt idx="472">
                  <c:v>0.000260592935954369</c:v>
                </c:pt>
                <c:pt idx="473">
                  <c:v>0.000260595146938628</c:v>
                </c:pt>
                <c:pt idx="474">
                  <c:v>0.000260597322920702</c:v>
                </c:pt>
                <c:pt idx="475">
                  <c:v>0.000260599464454713</c:v>
                </c:pt>
                <c:pt idx="476">
                  <c:v>0.000260601572086009</c:v>
                </c:pt>
                <c:pt idx="477">
                  <c:v>0.000260603646351307</c:v>
                </c:pt>
                <c:pt idx="478">
                  <c:v>0.000260605687778823</c:v>
                </c:pt>
                <c:pt idx="479">
                  <c:v>0.000260607696888416</c:v>
                </c:pt>
                <c:pt idx="480">
                  <c:v>0.00026060967419171</c:v>
                </c:pt>
                <c:pt idx="481">
                  <c:v>0.000260611620192233</c:v>
                </c:pt>
                <c:pt idx="482">
                  <c:v>0.00026061353538554</c:v>
                </c:pt>
                <c:pt idx="483">
                  <c:v>0.000260615420259342</c:v>
                </c:pt>
                <c:pt idx="484">
                  <c:v>0.000260617275293628</c:v>
                </c:pt>
                <c:pt idx="485">
                  <c:v>0.000260619100960789</c:v>
                </c:pt>
                <c:pt idx="486">
                  <c:v>0.000260620897725736</c:v>
                </c:pt>
                <c:pt idx="487">
                  <c:v>0.000260622666046022</c:v>
                </c:pt>
                <c:pt idx="488">
                  <c:v>0.000260624406371956</c:v>
                </c:pt>
                <c:pt idx="489">
                  <c:v>0.000260626119146717</c:v>
                </c:pt>
                <c:pt idx="490">
                  <c:v>0.00026062780480647</c:v>
                </c:pt>
                <c:pt idx="491">
                  <c:v>0.000260629463780472</c:v>
                </c:pt>
                <c:pt idx="492">
                  <c:v>0.000260631096491188</c:v>
                </c:pt>
                <c:pt idx="493">
                  <c:v>0.000260632703354391</c:v>
                </c:pt>
                <c:pt idx="494">
                  <c:v>0.000260634284779277</c:v>
                </c:pt>
                <c:pt idx="495">
                  <c:v>0.000260635841168558</c:v>
                </c:pt>
                <c:pt idx="496">
                  <c:v>0.000260637372918576</c:v>
                </c:pt>
                <c:pt idx="497">
                  <c:v>0.000260638880419395</c:v>
                </c:pt>
                <c:pt idx="498">
                  <c:v>0.000260640364054906</c:v>
                </c:pt>
                <c:pt idx="499">
                  <c:v>0.000260641824202921</c:v>
                </c:pt>
                <c:pt idx="500">
                  <c:v>0.000260643261235272</c:v>
                </c:pt>
                <c:pt idx="501">
                  <c:v>0.000260644675517903</c:v>
                </c:pt>
                <c:pt idx="502">
                  <c:v>0.000260646067410967</c:v>
                </c:pt>
                <c:pt idx="503">
                  <c:v>0.000260647437268913</c:v>
                </c:pt>
                <c:pt idx="504">
                  <c:v>0.000260648785440581</c:v>
                </c:pt>
                <c:pt idx="505">
                  <c:v>0.000260650112269287</c:v>
                </c:pt>
                <c:pt idx="506">
                  <c:v>0.000260651418092912</c:v>
                </c:pt>
                <c:pt idx="507">
                  <c:v>0.000260652703243989</c:v>
                </c:pt>
                <c:pt idx="508">
                  <c:v>0.000260653968049786</c:v>
                </c:pt>
                <c:pt idx="509">
                  <c:v>0.000260655212832388</c:v>
                </c:pt>
                <c:pt idx="510">
                  <c:v>0.000260656437908786</c:v>
                </c:pt>
                <c:pt idx="511">
                  <c:v>0.000260657643590947</c:v>
                </c:pt>
                <c:pt idx="512">
                  <c:v>0.000260658830185904</c:v>
                </c:pt>
                <c:pt idx="513">
                  <c:v>0.000260659997995827</c:v>
                </c:pt>
                <c:pt idx="514">
                  <c:v>0.000260661147318102</c:v>
                </c:pt>
                <c:pt idx="515">
                  <c:v>0.000260662278445408</c:v>
                </c:pt>
                <c:pt idx="516">
                  <c:v>0.00026066339166579</c:v>
                </c:pt>
                <c:pt idx="517">
                  <c:v>0.000260664487262733</c:v>
                </c:pt>
                <c:pt idx="518">
                  <c:v>0.000260665565515236</c:v>
                </c:pt>
                <c:pt idx="519">
                  <c:v>0.000260666626697878</c:v>
                </c:pt>
                <c:pt idx="520">
                  <c:v>0.000260667671080893</c:v>
                </c:pt>
                <c:pt idx="521">
                  <c:v>0.000260668698930238</c:v>
                </c:pt>
                <c:pt idx="522">
                  <c:v>0.000260669710507656</c:v>
                </c:pt>
                <c:pt idx="523">
                  <c:v>0.000260670706070749</c:v>
                </c:pt>
                <c:pt idx="524">
                  <c:v>0.000260671685873042</c:v>
                </c:pt>
                <c:pt idx="525">
                  <c:v>0.000260672650164044</c:v>
                </c:pt>
                <c:pt idx="526">
                  <c:v>0.000260673599189314</c:v>
                </c:pt>
                <c:pt idx="527">
                  <c:v>0.000260674533190526</c:v>
                </c:pt>
                <c:pt idx="528">
                  <c:v>0.000260675452405525</c:v>
                </c:pt>
                <c:pt idx="529">
                  <c:v>0.000260676357068394</c:v>
                </c:pt>
                <c:pt idx="530">
                  <c:v>0.000260677247409507</c:v>
                </c:pt>
                <c:pt idx="531">
                  <c:v>0.000260678123655592</c:v>
                </c:pt>
                <c:pt idx="532">
                  <c:v>0.000260678986029789</c:v>
                </c:pt>
                <c:pt idx="533">
                  <c:v>0.000260679834751703</c:v>
                </c:pt>
                <c:pt idx="534">
                  <c:v>0.000260680670037466</c:v>
                </c:pt>
                <c:pt idx="535">
                  <c:v>0.000260681492099785</c:v>
                </c:pt>
                <c:pt idx="536">
                  <c:v>0.000260682301148001</c:v>
                </c:pt>
                <c:pt idx="537">
                  <c:v>0.000260683097388141</c:v>
                </c:pt>
                <c:pt idx="538">
                  <c:v>0.000260683881022969</c:v>
                </c:pt>
                <c:pt idx="539">
                  <c:v>0.000260684652252042</c:v>
                </c:pt>
                <c:pt idx="540">
                  <c:v>0.000260685411271756</c:v>
                </c:pt>
                <c:pt idx="541">
                  <c:v>0.000260686158275396</c:v>
                </c:pt>
                <c:pt idx="542">
                  <c:v>0.000260686893453191</c:v>
                </c:pt>
                <c:pt idx="543">
                  <c:v>0.000260687616992355</c:v>
                </c:pt>
                <c:pt idx="544">
                  <c:v>0.00026068832907714</c:v>
                </c:pt>
                <c:pt idx="545">
                  <c:v>0.000260689029888881</c:v>
                </c:pt>
                <c:pt idx="546">
                  <c:v>0.000260689719606043</c:v>
                </c:pt>
                <c:pt idx="547">
                  <c:v>0.000260690398404263</c:v>
                </c:pt>
                <c:pt idx="548">
                  <c:v>0.0002606910664564</c:v>
                </c:pt>
                <c:pt idx="549">
                  <c:v>0.000260691723932576</c:v>
                </c:pt>
                <c:pt idx="550">
                  <c:v>0.000260692371000219</c:v>
                </c:pt>
                <c:pt idx="551">
                  <c:v>0.000260693007824107</c:v>
                </c:pt>
                <c:pt idx="552">
                  <c:v>0.000260693634566409</c:v>
                </c:pt>
                <c:pt idx="553">
                  <c:v>0.000260694251386728</c:v>
                </c:pt>
                <c:pt idx="554">
                  <c:v>0.000260694858442138</c:v>
                </c:pt>
                <c:pt idx="555">
                  <c:v>0.000260695455887229</c:v>
                </c:pt>
                <c:pt idx="556">
                  <c:v>0.000260696043874142</c:v>
                </c:pt>
                <c:pt idx="557">
                  <c:v>0.000260696622552609</c:v>
                </c:pt>
                <c:pt idx="558">
                  <c:v>0.000260697192069993</c:v>
                </c:pt>
                <c:pt idx="559">
                  <c:v>0.000260697752571324</c:v>
                </c:pt>
                <c:pt idx="560">
                  <c:v>0.000260698304199335</c:v>
                </c:pt>
                <c:pt idx="561">
                  <c:v>0.000260698847094499</c:v>
                </c:pt>
                <c:pt idx="562">
                  <c:v>0.000260699381395068</c:v>
                </c:pt>
                <c:pt idx="563">
                  <c:v>0.000260699907237102</c:v>
                </c:pt>
                <c:pt idx="564">
                  <c:v>0.000260700424754509</c:v>
                </c:pt>
                <c:pt idx="565">
                  <c:v>0.000260700934079075</c:v>
                </c:pt>
                <c:pt idx="566">
                  <c:v>0.000260701435340504</c:v>
                </c:pt>
                <c:pt idx="567">
                  <c:v>0.000260701928666442</c:v>
                </c:pt>
                <c:pt idx="568">
                  <c:v>0.000260702414182516</c:v>
                </c:pt>
                <c:pt idx="569">
                  <c:v>0.000260702892012365</c:v>
                </c:pt>
                <c:pt idx="570">
                  <c:v>0.000260703362277669</c:v>
                </c:pt>
                <c:pt idx="571">
                  <c:v>0.000260703825098184</c:v>
                </c:pt>
                <c:pt idx="572">
                  <c:v>0.000260704280591768</c:v>
                </c:pt>
                <c:pt idx="573">
                  <c:v>0.000260704728874414</c:v>
                </c:pt>
                <c:pt idx="574">
                  <c:v>0.000260705170060279</c:v>
                </c:pt>
                <c:pt idx="575">
                  <c:v>0.000260705604261711</c:v>
                </c:pt>
                <c:pt idx="576">
                  <c:v>0.000260706031589283</c:v>
                </c:pt>
                <c:pt idx="577">
                  <c:v>0.000260706452151814</c:v>
                </c:pt>
                <c:pt idx="578">
                  <c:v>0.000260706866056402</c:v>
                </c:pt>
                <c:pt idx="579">
                  <c:v>0.000260707273408449</c:v>
                </c:pt>
                <c:pt idx="580">
                  <c:v>0.000260707674311689</c:v>
                </c:pt>
                <c:pt idx="581">
                  <c:v>0.000260708068868213</c:v>
                </c:pt>
                <c:pt idx="582">
                  <c:v>0.000260708457178496</c:v>
                </c:pt>
                <c:pt idx="583">
                  <c:v>0.000260708839341423</c:v>
                </c:pt>
                <c:pt idx="584">
                  <c:v>0.000260709215454312</c:v>
                </c:pt>
                <c:pt idx="585">
                  <c:v>0.000260709585612943</c:v>
                </c:pt>
                <c:pt idx="586">
                  <c:v>0.000260709949911577</c:v>
                </c:pt>
                <c:pt idx="587">
                  <c:v>0.000260710308442984</c:v>
                </c:pt>
                <c:pt idx="588">
                  <c:v>0.000260710661298465</c:v>
                </c:pt>
                <c:pt idx="589">
                  <c:v>0.000260711008567876</c:v>
                </c:pt>
                <c:pt idx="590">
                  <c:v>0.000260711350339651</c:v>
                </c:pt>
                <c:pt idx="591">
                  <c:v>0.000260711686700822</c:v>
                </c:pt>
                <c:pt idx="592">
                  <c:v>0.000260712017737046</c:v>
                </c:pt>
                <c:pt idx="593">
                  <c:v>0.000260712343532622</c:v>
                </c:pt>
                <c:pt idx="594">
                  <c:v>0.000260712664170514</c:v>
                </c:pt>
                <c:pt idx="595">
                  <c:v>0.000260712979732374</c:v>
                </c:pt>
                <c:pt idx="596">
                  <c:v>0.000260713290298561</c:v>
                </c:pt>
                <c:pt idx="597">
                  <c:v>0.000260713595948162</c:v>
                </c:pt>
                <c:pt idx="598">
                  <c:v>0.000260713896759011</c:v>
                </c:pt>
                <c:pt idx="599">
                  <c:v>0.000260714192807711</c:v>
                </c:pt>
                <c:pt idx="600">
                  <c:v>0.000260714484169651</c:v>
                </c:pt>
                <c:pt idx="601">
                  <c:v>0.000260714770919029</c:v>
                </c:pt>
                <c:pt idx="602">
                  <c:v>0.000260715053128865</c:v>
                </c:pt>
                <c:pt idx="603">
                  <c:v>0.000260715330871026</c:v>
                </c:pt>
                <c:pt idx="604">
                  <c:v>0.000260715604216239</c:v>
                </c:pt>
                <c:pt idx="605">
                  <c:v>0.000260715873234112</c:v>
                </c:pt>
                <c:pt idx="606">
                  <c:v>0.000260716137993152</c:v>
                </c:pt>
                <c:pt idx="607">
                  <c:v>0.000260716398560781</c:v>
                </c:pt>
                <c:pt idx="608">
                  <c:v>0.000260716655003352</c:v>
                </c:pt>
                <c:pt idx="609">
                  <c:v>0.000260716907386171</c:v>
                </c:pt>
                <c:pt idx="610">
                  <c:v>0.000260717155773506</c:v>
                </c:pt>
                <c:pt idx="611">
                  <c:v>0.000260717400228611</c:v>
                </c:pt>
                <c:pt idx="612">
                  <c:v>0.000260717640813738</c:v>
                </c:pt>
                <c:pt idx="613">
                  <c:v>0.000260717877590151</c:v>
                </c:pt>
                <c:pt idx="614">
                  <c:v>0.000260718110618147</c:v>
                </c:pt>
                <c:pt idx="615">
                  <c:v>0.000260718339957066</c:v>
                </c:pt>
                <c:pt idx="616">
                  <c:v>0.000260718565665312</c:v>
                </c:pt>
                <c:pt idx="617">
                  <c:v>0.000260718787800361</c:v>
                </c:pt>
                <c:pt idx="618">
                  <c:v>0.000260719006418781</c:v>
                </c:pt>
                <c:pt idx="619">
                  <c:v>0.000260719221576243</c:v>
                </c:pt>
                <c:pt idx="620">
                  <c:v>0.000260719433327539</c:v>
                </c:pt>
                <c:pt idx="621">
                  <c:v>0.000260719641726591</c:v>
                </c:pt>
                <c:pt idx="622">
                  <c:v>0.000260719846826469</c:v>
                </c:pt>
                <c:pt idx="623">
                  <c:v>0.000260720048679402</c:v>
                </c:pt>
                <c:pt idx="624">
                  <c:v>0.000260720247336793</c:v>
                </c:pt>
                <c:pt idx="625">
                  <c:v>0.000260720442849231</c:v>
                </c:pt>
                <c:pt idx="626">
                  <c:v>0.000260720635266503</c:v>
                </c:pt>
                <c:pt idx="627">
                  <c:v>0.000260720824637609</c:v>
                </c:pt>
                <c:pt idx="628">
                  <c:v>0.000260721011010773</c:v>
                </c:pt>
                <c:pt idx="629">
                  <c:v>0.000260721194433456</c:v>
                </c:pt>
                <c:pt idx="630">
                  <c:v>0.000260721374952366</c:v>
                </c:pt>
                <c:pt idx="631">
                  <c:v>0.000260721552613475</c:v>
                </c:pt>
                <c:pt idx="632">
                  <c:v>0.000260721727462022</c:v>
                </c:pt>
                <c:pt idx="633">
                  <c:v>0.000260721899542536</c:v>
                </c:pt>
                <c:pt idx="634">
                  <c:v>0.000260722068898835</c:v>
                </c:pt>
                <c:pt idx="635">
                  <c:v>0.000260722235574047</c:v>
                </c:pt>
                <c:pt idx="636">
                  <c:v>0.000260722399610618</c:v>
                </c:pt>
                <c:pt idx="637">
                  <c:v>0.000260722561050318</c:v>
                </c:pt>
                <c:pt idx="638">
                  <c:v>0.00026072271993426</c:v>
                </c:pt>
                <c:pt idx="639">
                  <c:v>0.000260722876302904</c:v>
                </c:pt>
                <c:pt idx="640">
                  <c:v>0.000260723030196069</c:v>
                </c:pt>
                <c:pt idx="641">
                  <c:v>0.000260723181652945</c:v>
                </c:pt>
                <c:pt idx="642">
                  <c:v>0.000260723330712101</c:v>
                </c:pt>
                <c:pt idx="643">
                  <c:v>0.000260723477411495</c:v>
                </c:pt>
                <c:pt idx="644">
                  <c:v>0.000260723621788484</c:v>
                </c:pt>
                <c:pt idx="645">
                  <c:v>0.000260723763879836</c:v>
                </c:pt>
                <c:pt idx="646">
                  <c:v>0.000260723903721734</c:v>
                </c:pt>
                <c:pt idx="647">
                  <c:v>0.000260724041349788</c:v>
                </c:pt>
                <c:pt idx="648">
                  <c:v>0.000260724176799047</c:v>
                </c:pt>
                <c:pt idx="649">
                  <c:v>0.000260724310104003</c:v>
                </c:pt>
                <c:pt idx="650">
                  <c:v>0.000260724441298603</c:v>
                </c:pt>
                <c:pt idx="651">
                  <c:v>0.000260724570416256</c:v>
                </c:pt>
                <c:pt idx="652">
                  <c:v>0.000260724697489842</c:v>
                </c:pt>
                <c:pt idx="653">
                  <c:v>0.00026072482255172</c:v>
                </c:pt>
                <c:pt idx="654">
                  <c:v>0.000260724945633739</c:v>
                </c:pt>
                <c:pt idx="655">
                  <c:v>0.000260725066767241</c:v>
                </c:pt>
                <c:pt idx="656">
                  <c:v>0.000260725185983073</c:v>
                </c:pt>
                <c:pt idx="657">
                  <c:v>0.000260725303311595</c:v>
                </c:pt>
                <c:pt idx="658">
                  <c:v>0.000260725418782684</c:v>
                </c:pt>
                <c:pt idx="659">
                  <c:v>0.000260725532425745</c:v>
                </c:pt>
                <c:pt idx="660">
                  <c:v>0.000260725644269718</c:v>
                </c:pt>
                <c:pt idx="661">
                  <c:v>0.000260725754343085</c:v>
                </c:pt>
                <c:pt idx="662">
                  <c:v>0.000260725862673875</c:v>
                </c:pt>
                <c:pt idx="663">
                  <c:v>0.000260725969289677</c:v>
                </c:pt>
                <c:pt idx="664">
                  <c:v>0.000260726074217639</c:v>
                </c:pt>
                <c:pt idx="665">
                  <c:v>0.000260726177484482</c:v>
                </c:pt>
                <c:pt idx="666">
                  <c:v>0.000260726279116503</c:v>
                </c:pt>
                <c:pt idx="667">
                  <c:v>0.000260726379139584</c:v>
                </c:pt>
                <c:pt idx="668">
                  <c:v>0.000260726477579195</c:v>
                </c:pt>
                <c:pt idx="669">
                  <c:v>0.000260726574460404</c:v>
                </c:pt>
                <c:pt idx="670">
                  <c:v>0.000260726669807883</c:v>
                </c:pt>
                <c:pt idx="671">
                  <c:v>0.000260726763645912</c:v>
                </c:pt>
                <c:pt idx="672">
                  <c:v>0.000260726855998387</c:v>
                </c:pt>
                <c:pt idx="673">
                  <c:v>0.000260726946888827</c:v>
                </c:pt>
                <c:pt idx="674">
                  <c:v>0.000260727036340376</c:v>
                </c:pt>
                <c:pt idx="675">
                  <c:v>0.000260727124375814</c:v>
                </c:pt>
                <c:pt idx="676">
                  <c:v>0.000260727211017559</c:v>
                </c:pt>
                <c:pt idx="677">
                  <c:v>0.000260727296287675</c:v>
                </c:pt>
                <c:pt idx="678">
                  <c:v>0.000260727380207876</c:v>
                </c:pt>
                <c:pt idx="679">
                  <c:v>0.000260727462799533</c:v>
                </c:pt>
                <c:pt idx="680">
                  <c:v>0.000260727544083678</c:v>
                </c:pt>
                <c:pt idx="681">
                  <c:v>0.00026072762408101</c:v>
                </c:pt>
                <c:pt idx="682">
                  <c:v>0.000260727702811901</c:v>
                </c:pt>
                <c:pt idx="683">
                  <c:v>0.000260727780296401</c:v>
                </c:pt>
                <c:pt idx="684">
                  <c:v>0.00026072785655424</c:v>
                </c:pt>
                <c:pt idx="685">
                  <c:v>0.000260727931604837</c:v>
                </c:pt>
                <c:pt idx="686">
                  <c:v>0.000260728005467306</c:v>
                </c:pt>
                <c:pt idx="687">
                  <c:v>0.000260728078160455</c:v>
                </c:pt>
                <c:pt idx="688">
                  <c:v>0.000260728149702795</c:v>
                </c:pt>
                <c:pt idx="689">
                  <c:v>0.000260728220112546</c:v>
                </c:pt>
                <c:pt idx="690">
                  <c:v>0.000260728289407637</c:v>
                </c:pt>
                <c:pt idx="691">
                  <c:v>0.000260728357605715</c:v>
                </c:pt>
                <c:pt idx="692">
                  <c:v>0.000260728424724146</c:v>
                </c:pt>
                <c:pt idx="693">
                  <c:v>0.000260728490780022</c:v>
                </c:pt>
                <c:pt idx="694">
                  <c:v>0.000260728555790165</c:v>
                </c:pt>
                <c:pt idx="695">
                  <c:v>0.000260728619771129</c:v>
                </c:pt>
                <c:pt idx="696">
                  <c:v>0.000260728682739209</c:v>
                </c:pt>
                <c:pt idx="697">
                  <c:v>0.000260728744710438</c:v>
                </c:pt>
                <c:pt idx="698">
                  <c:v>0.000260728805700598</c:v>
                </c:pt>
                <c:pt idx="699">
                  <c:v>0.00026072886572522</c:v>
                </c:pt>
                <c:pt idx="700">
                  <c:v>0.000260728924799589</c:v>
                </c:pt>
                <c:pt idx="701">
                  <c:v>0.00026072898293875</c:v>
                </c:pt>
                <c:pt idx="702">
                  <c:v>0.000260729040157508</c:v>
                </c:pt>
                <c:pt idx="703">
                  <c:v>0.000260729096470433</c:v>
                </c:pt>
                <c:pt idx="704">
                  <c:v>0.000260729151891866</c:v>
                </c:pt>
                <c:pt idx="705">
                  <c:v>0.000260729206435919</c:v>
                </c:pt>
                <c:pt idx="706">
                  <c:v>0.000260729260116484</c:v>
                </c:pt>
                <c:pt idx="707">
                  <c:v>0.000260729312947229</c:v>
                </c:pt>
                <c:pt idx="708">
                  <c:v>0.000260729364941608</c:v>
                </c:pt>
                <c:pt idx="709">
                  <c:v>0.000260729416112863</c:v>
                </c:pt>
                <c:pt idx="710">
                  <c:v>0.000260729466474023</c:v>
                </c:pt>
                <c:pt idx="711">
                  <c:v>0.000260729516037913</c:v>
                </c:pt>
                <c:pt idx="712">
                  <c:v>0.000260729564817155</c:v>
                </c:pt>
                <c:pt idx="713">
                  <c:v>0.000260729612824171</c:v>
                </c:pt>
                <c:pt idx="714">
                  <c:v>0.000260729660071186</c:v>
                </c:pt>
                <c:pt idx="715">
                  <c:v>0.000260729706570232</c:v>
                </c:pt>
                <c:pt idx="716">
                  <c:v>0.000260729752333149</c:v>
                </c:pt>
                <c:pt idx="717">
                  <c:v>0.000260729797371592</c:v>
                </c:pt>
                <c:pt idx="718">
                  <c:v>0.000260729841697029</c:v>
                </c:pt>
                <c:pt idx="719">
                  <c:v>0.000260729885320748</c:v>
                </c:pt>
                <c:pt idx="720">
                  <c:v>0.000260729928253859</c:v>
                </c:pt>
                <c:pt idx="721">
                  <c:v>0.000260729970507293</c:v>
                </c:pt>
                <c:pt idx="722">
                  <c:v>0.000260730012091812</c:v>
                </c:pt>
                <c:pt idx="723">
                  <c:v>0.000260730053018004</c:v>
                </c:pt>
                <c:pt idx="724">
                  <c:v>0.000260730093296292</c:v>
                </c:pt>
                <c:pt idx="725">
                  <c:v>0.000260730132936933</c:v>
                </c:pt>
                <c:pt idx="726">
                  <c:v>0.000260730171950021</c:v>
                </c:pt>
                <c:pt idx="727">
                  <c:v>0.000260730210345491</c:v>
                </c:pt>
                <c:pt idx="728">
                  <c:v>0.000260730248133121</c:v>
                </c:pt>
                <c:pt idx="729">
                  <c:v>0.000260730285322534</c:v>
                </c:pt>
                <c:pt idx="730">
                  <c:v>0.000260730321923199</c:v>
                </c:pt>
                <c:pt idx="731">
                  <c:v>0.000260730357944438</c:v>
                </c:pt>
                <c:pt idx="732">
                  <c:v>0.000260730393395423</c:v>
                </c:pt>
                <c:pt idx="733">
                  <c:v>0.000260730428285182</c:v>
                </c:pt>
                <c:pt idx="734">
                  <c:v>0.000260730462622599</c:v>
                </c:pt>
                <c:pt idx="735">
                  <c:v>0.00026073049641642</c:v>
                </c:pt>
                <c:pt idx="736">
                  <c:v>0.000260730529675249</c:v>
                </c:pt>
                <c:pt idx="737">
                  <c:v>0.000260730562407556</c:v>
                </c:pt>
                <c:pt idx="738">
                  <c:v>0.000260730594621677</c:v>
                </c:pt>
                <c:pt idx="739">
                  <c:v>0.000260730626325815</c:v>
                </c:pt>
                <c:pt idx="740">
                  <c:v>0.000260730657528043</c:v>
                </c:pt>
                <c:pt idx="741">
                  <c:v>0.000260730688236307</c:v>
                </c:pt>
                <c:pt idx="742">
                  <c:v>0.000260730718458428</c:v>
                </c:pt>
                <c:pt idx="743">
                  <c:v>0.000260730748202101</c:v>
                </c:pt>
                <c:pt idx="744">
                  <c:v>0.0002607307774749</c:v>
                </c:pt>
                <c:pt idx="745">
                  <c:v>0.000260730806284281</c:v>
                </c:pt>
                <c:pt idx="746">
                  <c:v>0.000260730834637579</c:v>
                </c:pt>
                <c:pt idx="747">
                  <c:v>0.000260730862542015</c:v>
                </c:pt>
                <c:pt idx="748">
                  <c:v>0.000260730890004694</c:v>
                </c:pt>
                <c:pt idx="749">
                  <c:v>0.000260730917032611</c:v>
                </c:pt>
                <c:pt idx="750">
                  <c:v>0.000260730943632648</c:v>
                </c:pt>
                <c:pt idx="751">
                  <c:v>0.000260730969811578</c:v>
                </c:pt>
                <c:pt idx="752">
                  <c:v>0.000260730995576069</c:v>
                </c:pt>
                <c:pt idx="753">
                  <c:v>0.000260731020932681</c:v>
                </c:pt>
                <c:pt idx="754">
                  <c:v>0.000260731045887871</c:v>
                </c:pt>
                <c:pt idx="755">
                  <c:v>0.000260731070447995</c:v>
                </c:pt>
                <c:pt idx="756">
                  <c:v>0.000260731094619306</c:v>
                </c:pt>
                <c:pt idx="757">
                  <c:v>0.00026073111840796</c:v>
                </c:pt>
                <c:pt idx="758">
                  <c:v>0.000260731141820015</c:v>
                </c:pt>
                <c:pt idx="759">
                  <c:v>0.000260731164861433</c:v>
                </c:pt>
                <c:pt idx="760">
                  <c:v>0.000260731187538081</c:v>
                </c:pt>
                <c:pt idx="761">
                  <c:v>0.000260731209855735</c:v>
                </c:pt>
                <c:pt idx="762">
                  <c:v>0.000260731231820076</c:v>
                </c:pt>
                <c:pt idx="763">
                  <c:v>0.000260731253436699</c:v>
                </c:pt>
                <c:pt idx="764">
                  <c:v>0.000260731274711109</c:v>
                </c:pt>
                <c:pt idx="765">
                  <c:v>0.000260731295648722</c:v>
                </c:pt>
                <c:pt idx="766">
                  <c:v>0.000260731316254871</c:v>
                </c:pt>
                <c:pt idx="767">
                  <c:v>0.000260731336534804</c:v>
                </c:pt>
                <c:pt idx="768">
                  <c:v>0.000260731356493684</c:v>
                </c:pt>
                <c:pt idx="769">
                  <c:v>0.000260731376136594</c:v>
                </c:pt>
                <c:pt idx="770">
                  <c:v>0.000260731395468536</c:v>
                </c:pt>
                <c:pt idx="771">
                  <c:v>0.000260731414494434</c:v>
                </c:pt>
                <c:pt idx="772">
                  <c:v>0.000260731433219131</c:v>
                </c:pt>
                <c:pt idx="773">
                  <c:v>0.000260731451647398</c:v>
                </c:pt>
                <c:pt idx="774">
                  <c:v>0.000260731469783925</c:v>
                </c:pt>
                <c:pt idx="775">
                  <c:v>0.000260731487633333</c:v>
                </c:pt>
                <c:pt idx="776">
                  <c:v>0.000260731505200165</c:v>
                </c:pt>
                <c:pt idx="777">
                  <c:v>0.000260731522488897</c:v>
                </c:pt>
                <c:pt idx="778">
                  <c:v>0.00026073153950393</c:v>
                </c:pt>
                <c:pt idx="779">
                  <c:v>0.000260731556249597</c:v>
                </c:pt>
                <c:pt idx="780">
                  <c:v>0.000260731572730163</c:v>
                </c:pt>
                <c:pt idx="781">
                  <c:v>0.000260731588949824</c:v>
                </c:pt>
                <c:pt idx="782">
                  <c:v>0.000260731604912711</c:v>
                </c:pt>
                <c:pt idx="783">
                  <c:v>0.000260731620622889</c:v>
                </c:pt>
                <c:pt idx="784">
                  <c:v>0.000260731636084359</c:v>
                </c:pt>
                <c:pt idx="785">
                  <c:v>0.000260731651301057</c:v>
                </c:pt>
                <c:pt idx="786">
                  <c:v>0.000260731666276859</c:v>
                </c:pt>
                <c:pt idx="787">
                  <c:v>0.000260731681015579</c:v>
                </c:pt>
                <c:pt idx="788">
                  <c:v>0.000260731695520969</c:v>
                </c:pt>
                <c:pt idx="789">
                  <c:v>0.000260731709796724</c:v>
                </c:pt>
                <c:pt idx="790">
                  <c:v>0.000260731723846479</c:v>
                </c:pt>
                <c:pt idx="791">
                  <c:v>0.000260731737673812</c:v>
                </c:pt>
                <c:pt idx="792">
                  <c:v>0.000260731751282243</c:v>
                </c:pt>
                <c:pt idx="793">
                  <c:v>0.000260731764675239</c:v>
                </c:pt>
                <c:pt idx="794">
                  <c:v>0.00026073177785621</c:v>
                </c:pt>
                <c:pt idx="795">
                  <c:v>0.000260731790828512</c:v>
                </c:pt>
                <c:pt idx="796">
                  <c:v>0.000260731803595449</c:v>
                </c:pt>
                <c:pt idx="797">
                  <c:v>0.000260731816160273</c:v>
                </c:pt>
                <c:pt idx="798">
                  <c:v>0.000260731828526182</c:v>
                </c:pt>
                <c:pt idx="799">
                  <c:v>0.000260731840696326</c:v>
                </c:pt>
                <c:pt idx="800">
                  <c:v>0.000260731852673803</c:v>
                </c:pt>
                <c:pt idx="801">
                  <c:v>0.000260731864461665</c:v>
                </c:pt>
                <c:pt idx="802">
                  <c:v>0.000260731876062913</c:v>
                </c:pt>
                <c:pt idx="803">
                  <c:v>0.000260731887480501</c:v>
                </c:pt>
                <c:pt idx="804">
                  <c:v>0.000260731898717336</c:v>
                </c:pt>
                <c:pt idx="805">
                  <c:v>0.000260731909776281</c:v>
                </c:pt>
                <c:pt idx="806">
                  <c:v>0.000260731920660151</c:v>
                </c:pt>
                <c:pt idx="807">
                  <c:v>0.000260731931371718</c:v>
                </c:pt>
                <c:pt idx="808">
                  <c:v>0.00026073194191371</c:v>
                </c:pt>
                <c:pt idx="809">
                  <c:v>0.000260731952288811</c:v>
                </c:pt>
                <c:pt idx="810">
                  <c:v>0.000260731962499663</c:v>
                </c:pt>
                <c:pt idx="811">
                  <c:v>0.000260731972548868</c:v>
                </c:pt>
                <c:pt idx="812">
                  <c:v>0.000260731982438982</c:v>
                </c:pt>
                <c:pt idx="813">
                  <c:v>0.000260731992172526</c:v>
                </c:pt>
                <c:pt idx="814">
                  <c:v>0.000260732001751978</c:v>
                </c:pt>
                <c:pt idx="815">
                  <c:v>0.000260732011179777</c:v>
                </c:pt>
                <c:pt idx="816">
                  <c:v>0.000260732020458324</c:v>
                </c:pt>
                <c:pt idx="817">
                  <c:v>0.000260732029589982</c:v>
                </c:pt>
                <c:pt idx="818">
                  <c:v>0.000260732038577076</c:v>
                </c:pt>
                <c:pt idx="819">
                  <c:v>0.000260732047421896</c:v>
                </c:pt>
                <c:pt idx="820">
                  <c:v>0.000260732056126692</c:v>
                </c:pt>
                <c:pt idx="821">
                  <c:v>0.000260732064693683</c:v>
                </c:pt>
                <c:pt idx="822">
                  <c:v>0.000260732073125049</c:v>
                </c:pt>
                <c:pt idx="823">
                  <c:v>0.000260732081422938</c:v>
                </c:pt>
                <c:pt idx="824">
                  <c:v>0.000260732089589463</c:v>
                </c:pt>
                <c:pt idx="825">
                  <c:v>0.000260732097626703</c:v>
                </c:pt>
                <c:pt idx="826">
                  <c:v>0.000260732105536705</c:v>
                </c:pt>
                <c:pt idx="827">
                  <c:v>0.000260732113321484</c:v>
                </c:pt>
                <c:pt idx="828">
                  <c:v>0.000260732120983021</c:v>
                </c:pt>
                <c:pt idx="829">
                  <c:v>0.000260732128523269</c:v>
                </c:pt>
                <c:pt idx="830">
                  <c:v>0.000260732135944146</c:v>
                </c:pt>
                <c:pt idx="831">
                  <c:v>0.000260732143247543</c:v>
                </c:pt>
                <c:pt idx="832">
                  <c:v>0.00026073215043532</c:v>
                </c:pt>
                <c:pt idx="833">
                  <c:v>0.000260732157509307</c:v>
                </c:pt>
                <c:pt idx="834">
                  <c:v>0.000260732164471305</c:v>
                </c:pt>
                <c:pt idx="835">
                  <c:v>0.000260732171323087</c:v>
                </c:pt>
                <c:pt idx="836">
                  <c:v>0.000260732178066399</c:v>
                </c:pt>
                <c:pt idx="837">
                  <c:v>0.000260732184702957</c:v>
                </c:pt>
                <c:pt idx="838">
                  <c:v>0.000260732191234451</c:v>
                </c:pt>
                <c:pt idx="839">
                  <c:v>0.000260732197662545</c:v>
                </c:pt>
                <c:pt idx="840">
                  <c:v>0.000260732203988876</c:v>
                </c:pt>
                <c:pt idx="841">
                  <c:v>0.000260732210215054</c:v>
                </c:pt>
                <c:pt idx="842">
                  <c:v>0.000260732216342666</c:v>
                </c:pt>
                <c:pt idx="843">
                  <c:v>0.00026073222237327</c:v>
                </c:pt>
                <c:pt idx="844">
                  <c:v>0.000260732228308404</c:v>
                </c:pt>
                <c:pt idx="845">
                  <c:v>0.000260732234149579</c:v>
                </c:pt>
                <c:pt idx="846">
                  <c:v>0.000260732239898282</c:v>
                </c:pt>
                <c:pt idx="847">
                  <c:v>0.000260732245555977</c:v>
                </c:pt>
                <c:pt idx="848">
                  <c:v>0.000260732251124105</c:v>
                </c:pt>
                <c:pt idx="849">
                  <c:v>0.000260732256604083</c:v>
                </c:pt>
                <c:pt idx="850">
                  <c:v>0.000260732261997308</c:v>
                </c:pt>
                <c:pt idx="851">
                  <c:v>0.000260732267305152</c:v>
                </c:pt>
                <c:pt idx="852">
                  <c:v>0.000260732272528968</c:v>
                </c:pt>
                <c:pt idx="853">
                  <c:v>0.000260732277670085</c:v>
                </c:pt>
                <c:pt idx="854">
                  <c:v>0.000260732282729813</c:v>
                </c:pt>
                <c:pt idx="855">
                  <c:v>0.00026073228770944</c:v>
                </c:pt>
                <c:pt idx="856">
                  <c:v>0.000260732292610234</c:v>
                </c:pt>
                <c:pt idx="857">
                  <c:v>0.000260732297433444</c:v>
                </c:pt>
                <c:pt idx="858">
                  <c:v>0.000260732302180297</c:v>
                </c:pt>
                <c:pt idx="859">
                  <c:v>0.000260732306852003</c:v>
                </c:pt>
                <c:pt idx="860">
                  <c:v>0.000260732311449751</c:v>
                </c:pt>
                <c:pt idx="861">
                  <c:v>0.000260732315974711</c:v>
                </c:pt>
                <c:pt idx="862">
                  <c:v>0.000260732320428037</c:v>
                </c:pt>
                <c:pt idx="863">
                  <c:v>0.000260732324810862</c:v>
                </c:pt>
                <c:pt idx="864">
                  <c:v>0.000260732329124302</c:v>
                </c:pt>
                <c:pt idx="865">
                  <c:v>0.000260732333369456</c:v>
                </c:pt>
                <c:pt idx="866">
                  <c:v>0.000260732337547405</c:v>
                </c:pt>
                <c:pt idx="867">
                  <c:v>0.000260732341659213</c:v>
                </c:pt>
                <c:pt idx="868">
                  <c:v>0.000260732345705926</c:v>
                </c:pt>
                <c:pt idx="869">
                  <c:v>0.000260732349688576</c:v>
                </c:pt>
                <c:pt idx="870">
                  <c:v>0.000260732353608176</c:v>
                </c:pt>
                <c:pt idx="871">
                  <c:v>0.000260732357465725</c:v>
                </c:pt>
                <c:pt idx="872">
                  <c:v>0.000260732361262205</c:v>
                </c:pt>
                <c:pt idx="873">
                  <c:v>0.000260732364998582</c:v>
                </c:pt>
                <c:pt idx="874">
                  <c:v>0.000260732368675809</c:v>
                </c:pt>
                <c:pt idx="875">
                  <c:v>0.000260732372294821</c:v>
                </c:pt>
                <c:pt idx="876">
                  <c:v>0.000260732375856541</c:v>
                </c:pt>
                <c:pt idx="877">
                  <c:v>0.000260732379361875</c:v>
                </c:pt>
                <c:pt idx="878">
                  <c:v>0.000260732382811716</c:v>
                </c:pt>
                <c:pt idx="879">
                  <c:v>0.000260732386206942</c:v>
                </c:pt>
                <c:pt idx="880">
                  <c:v>0.000260732389548419</c:v>
                </c:pt>
                <c:pt idx="881">
                  <c:v>0.000260732392836996</c:v>
                </c:pt>
                <c:pt idx="882">
                  <c:v>0.000260732396073512</c:v>
                </c:pt>
                <c:pt idx="883">
                  <c:v>0.00026073239925879</c:v>
                </c:pt>
                <c:pt idx="884">
                  <c:v>0.000260732402393642</c:v>
                </c:pt>
                <c:pt idx="885">
                  <c:v>0.000260732405478866</c:v>
                </c:pt>
                <c:pt idx="886">
                  <c:v>0.000260732408515248</c:v>
                </c:pt>
                <c:pt idx="887">
                  <c:v>0.000260732411503561</c:v>
                </c:pt>
                <c:pt idx="888">
                  <c:v>0.000260732414444565</c:v>
                </c:pt>
                <c:pt idx="889">
                  <c:v>0.000260732417339011</c:v>
                </c:pt>
                <c:pt idx="890">
                  <c:v>0.000260732420187634</c:v>
                </c:pt>
                <c:pt idx="891">
                  <c:v>0.00026073242299116</c:v>
                </c:pt>
                <c:pt idx="892">
                  <c:v>0.000260732425750304</c:v>
                </c:pt>
                <c:pt idx="893">
                  <c:v>0.000260732428465768</c:v>
                </c:pt>
                <c:pt idx="894">
                  <c:v>0.000260732431138243</c:v>
                </c:pt>
                <c:pt idx="895">
                  <c:v>0.00026073243376841</c:v>
                </c:pt>
                <c:pt idx="896">
                  <c:v>0.000260732436356939</c:v>
                </c:pt>
                <c:pt idx="897">
                  <c:v>0.000260732438904489</c:v>
                </c:pt>
                <c:pt idx="898">
                  <c:v>0.000260732441411708</c:v>
                </c:pt>
                <c:pt idx="899">
                  <c:v>0.000260732443879235</c:v>
                </c:pt>
                <c:pt idx="900">
                  <c:v>0.000260732446307699</c:v>
                </c:pt>
                <c:pt idx="901">
                  <c:v>0.000260732448697718</c:v>
                </c:pt>
                <c:pt idx="902">
                  <c:v>0.0002607324510499</c:v>
                </c:pt>
                <c:pt idx="903">
                  <c:v>0.000260732453364845</c:v>
                </c:pt>
                <c:pt idx="904">
                  <c:v>0.000260732455643142</c:v>
                </c:pt>
                <c:pt idx="905">
                  <c:v>0.000260732457885371</c:v>
                </c:pt>
                <c:pt idx="906">
                  <c:v>0.000260732460092103</c:v>
                </c:pt>
                <c:pt idx="907">
                  <c:v>0.0002607324622639</c:v>
                </c:pt>
                <c:pt idx="908">
                  <c:v>0.000260732464401316</c:v>
                </c:pt>
                <c:pt idx="909">
                  <c:v>0.000260732466504894</c:v>
                </c:pt>
                <c:pt idx="910">
                  <c:v>0.00026073246857517</c:v>
                </c:pt>
                <c:pt idx="911">
                  <c:v>0.000260732470612672</c:v>
                </c:pt>
                <c:pt idx="912">
                  <c:v>0.000260732472617917</c:v>
                </c:pt>
                <c:pt idx="913">
                  <c:v>0.000260732474591418</c:v>
                </c:pt>
                <c:pt idx="914">
                  <c:v>0.000260732476533676</c:v>
                </c:pt>
                <c:pt idx="915">
                  <c:v>0.000260732478445186</c:v>
                </c:pt>
                <c:pt idx="916">
                  <c:v>0.000260732480326435</c:v>
                </c:pt>
                <c:pt idx="917">
                  <c:v>0.000260732482177902</c:v>
                </c:pt>
                <c:pt idx="918">
                  <c:v>0.000260732484000058</c:v>
                </c:pt>
                <c:pt idx="919">
                  <c:v>0.000260732485793367</c:v>
                </c:pt>
                <c:pt idx="920">
                  <c:v>0.000260732487558287</c:v>
                </c:pt>
                <c:pt idx="921">
                  <c:v>0.000260732489295266</c:v>
                </c:pt>
                <c:pt idx="922">
                  <c:v>0.000260732491004747</c:v>
                </c:pt>
                <c:pt idx="923">
                  <c:v>0.000260732492687164</c:v>
                </c:pt>
                <c:pt idx="924">
                  <c:v>0.000260732494342948</c:v>
                </c:pt>
                <c:pt idx="925">
                  <c:v>0.000260732495972519</c:v>
                </c:pt>
                <c:pt idx="926">
                  <c:v>0.000260732497576292</c:v>
                </c:pt>
                <c:pt idx="927">
                  <c:v>0.000260732499154675</c:v>
                </c:pt>
                <c:pt idx="928">
                  <c:v>0.000260732500708071</c:v>
                </c:pt>
                <c:pt idx="929">
                  <c:v>0.000260732502236876</c:v>
                </c:pt>
                <c:pt idx="930">
                  <c:v>0.000260732503741477</c:v>
                </c:pt>
                <c:pt idx="931">
                  <c:v>0.000260732505222259</c:v>
                </c:pt>
                <c:pt idx="932">
                  <c:v>0.000260732506679599</c:v>
                </c:pt>
                <c:pt idx="933">
                  <c:v>0.000260732508113868</c:v>
                </c:pt>
                <c:pt idx="934">
                  <c:v>0.000260732509525431</c:v>
                </c:pt>
                <c:pt idx="935">
                  <c:v>0.000260732510914647</c:v>
                </c:pt>
                <c:pt idx="936">
                  <c:v>0.000260732512281871</c:v>
                </c:pt>
                <c:pt idx="937">
                  <c:v>0.000260732513627449</c:v>
                </c:pt>
                <c:pt idx="938">
                  <c:v>0.000260732514951726</c:v>
                </c:pt>
                <c:pt idx="939">
                  <c:v>0.000260732516255039</c:v>
                </c:pt>
                <c:pt idx="940">
                  <c:v>0.000260732517537718</c:v>
                </c:pt>
                <c:pt idx="941">
                  <c:v>0.000260732518800092</c:v>
                </c:pt>
                <c:pt idx="942">
                  <c:v>0.00026073252004248</c:v>
                </c:pt>
                <c:pt idx="943">
                  <c:v>0.000260732521265201</c:v>
                </c:pt>
                <c:pt idx="944">
                  <c:v>0.000260732522468564</c:v>
                </c:pt>
                <c:pt idx="945">
                  <c:v>0.000260732523652877</c:v>
                </c:pt>
                <c:pt idx="946">
                  <c:v>0.000260732524818441</c:v>
                </c:pt>
                <c:pt idx="947">
                  <c:v>0.000260732525965553</c:v>
                </c:pt>
                <c:pt idx="948">
                  <c:v>0.000260732527094505</c:v>
                </c:pt>
                <c:pt idx="949">
                  <c:v>0.000260732528205584</c:v>
                </c:pt>
                <c:pt idx="950">
                  <c:v>0.000260732529299074</c:v>
                </c:pt>
                <c:pt idx="951">
                  <c:v>0.000260732530375253</c:v>
                </c:pt>
                <c:pt idx="952">
                  <c:v>0.000260732531434395</c:v>
                </c:pt>
                <c:pt idx="953">
                  <c:v>0.000260732532476769</c:v>
                </c:pt>
                <c:pt idx="954">
                  <c:v>0.000260732533502642</c:v>
                </c:pt>
                <c:pt idx="955">
                  <c:v>0.000260732534512274</c:v>
                </c:pt>
                <c:pt idx="956">
                  <c:v>0.000260732535505923</c:v>
                </c:pt>
                <c:pt idx="957">
                  <c:v>0.000260732536483841</c:v>
                </c:pt>
                <c:pt idx="958">
                  <c:v>0.000260732537446277</c:v>
                </c:pt>
                <c:pt idx="959">
                  <c:v>0.000260732538393477</c:v>
                </c:pt>
                <c:pt idx="960">
                  <c:v>0.000260732539325682</c:v>
                </c:pt>
                <c:pt idx="961">
                  <c:v>0.000260732540243129</c:v>
                </c:pt>
                <c:pt idx="962">
                  <c:v>0.000260732541146052</c:v>
                </c:pt>
                <c:pt idx="963">
                  <c:v>0.000260732542034681</c:v>
                </c:pt>
                <c:pt idx="964">
                  <c:v>0.000260732542909242</c:v>
                </c:pt>
                <c:pt idx="965">
                  <c:v>0.000260732543769958</c:v>
                </c:pt>
                <c:pt idx="966">
                  <c:v>0.000260732544617048</c:v>
                </c:pt>
                <c:pt idx="967">
                  <c:v>0.000260732545450727</c:v>
                </c:pt>
                <c:pt idx="968">
                  <c:v>0.000260732546271208</c:v>
                </c:pt>
                <c:pt idx="969">
                  <c:v>0.000260732547078701</c:v>
                </c:pt>
                <c:pt idx="970">
                  <c:v>0.000260732547873409</c:v>
                </c:pt>
                <c:pt idx="971">
                  <c:v>0.000260732548655537</c:v>
                </c:pt>
                <c:pt idx="972">
                  <c:v>0.000260732549425283</c:v>
                </c:pt>
                <c:pt idx="973">
                  <c:v>0.000260732550182843</c:v>
                </c:pt>
                <c:pt idx="974">
                  <c:v>0.00026073255092841</c:v>
                </c:pt>
                <c:pt idx="975">
                  <c:v>0.000260732551662174</c:v>
                </c:pt>
                <c:pt idx="976">
                  <c:v>0.000260732552384322</c:v>
                </c:pt>
                <c:pt idx="977">
                  <c:v>0.000260732553095037</c:v>
                </c:pt>
                <c:pt idx="978">
                  <c:v>0.000260732553794501</c:v>
                </c:pt>
                <c:pt idx="979">
                  <c:v>0.000260732554482892</c:v>
                </c:pt>
                <c:pt idx="980">
                  <c:v>0.000260732555160384</c:v>
                </c:pt>
                <c:pt idx="981">
                  <c:v>0.000260732555827152</c:v>
                </c:pt>
                <c:pt idx="982">
                  <c:v>0.000260732556483364</c:v>
                </c:pt>
                <c:pt idx="983">
                  <c:v>0.000260732557129187</c:v>
                </c:pt>
                <c:pt idx="984">
                  <c:v>0.000260732557764786</c:v>
                </c:pt>
                <c:pt idx="985">
                  <c:v>0.000260732558390323</c:v>
                </c:pt>
                <c:pt idx="986">
                  <c:v>0.000260732559005957</c:v>
                </c:pt>
                <c:pt idx="987">
                  <c:v>0.000260732559611845</c:v>
                </c:pt>
                <c:pt idx="988">
                  <c:v>0.000260732560208141</c:v>
                </c:pt>
                <c:pt idx="989">
                  <c:v>0.000260732560794997</c:v>
                </c:pt>
                <c:pt idx="990">
                  <c:v>0.000260732561372563</c:v>
                </c:pt>
                <c:pt idx="991">
                  <c:v>0.000260732561940985</c:v>
                </c:pt>
                <c:pt idx="992">
                  <c:v>0.000260732562500408</c:v>
                </c:pt>
                <c:pt idx="993">
                  <c:v>0.000260732563050975</c:v>
                </c:pt>
                <c:pt idx="994">
                  <c:v>0.000260732563592826</c:v>
                </c:pt>
                <c:pt idx="995">
                  <c:v>0.000260732564126099</c:v>
                </c:pt>
                <c:pt idx="996">
                  <c:v>0.00026073256465093</c:v>
                </c:pt>
                <c:pt idx="997">
                  <c:v>0.000260732565167452</c:v>
                </c:pt>
                <c:pt idx="998">
                  <c:v>0.000260732565675797</c:v>
                </c:pt>
                <c:pt idx="999">
                  <c:v>0.000260732566176095</c:v>
                </c:pt>
                <c:pt idx="1000">
                  <c:v>0.000260732566668472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Sheet1!$G$10:$G$10</c:f>
              <c:strCache>
                <c:ptCount val="1"/>
                <c:pt idx="0">
                  <c:v>5.00E+07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square"/>
            <c:size val="5"/>
            <c:spPr>
              <a:solidFill>
                <a:srgbClr val="4472c4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Sheet1!$C$12:$C$1012</c:f>
              <c:numCache>
                <c:formatCode>General</c:formatCode>
                <c:ptCount val="10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</c:v>
                </c:pt>
                <c:pt idx="323">
                  <c:v>32.3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</c:v>
                </c:pt>
                <c:pt idx="328">
                  <c:v>32.8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</c:v>
                </c:pt>
                <c:pt idx="333">
                  <c:v>33.3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</c:v>
                </c:pt>
                <c:pt idx="338">
                  <c:v>33.8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</c:v>
                </c:pt>
                <c:pt idx="343">
                  <c:v>34.3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</c:v>
                </c:pt>
                <c:pt idx="348">
                  <c:v>34.8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</c:v>
                </c:pt>
                <c:pt idx="353">
                  <c:v>35.3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</c:v>
                </c:pt>
                <c:pt idx="358">
                  <c:v>35.8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</c:v>
                </c:pt>
                <c:pt idx="363">
                  <c:v>36.3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</c:v>
                </c:pt>
                <c:pt idx="368">
                  <c:v>36.8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</c:v>
                </c:pt>
                <c:pt idx="373">
                  <c:v>37.3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</c:v>
                </c:pt>
                <c:pt idx="378">
                  <c:v>37.8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</c:v>
                </c:pt>
                <c:pt idx="383">
                  <c:v>38.3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</c:v>
                </c:pt>
                <c:pt idx="388">
                  <c:v>38.8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</c:v>
                </c:pt>
                <c:pt idx="393">
                  <c:v>39.3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</c:v>
                </c:pt>
                <c:pt idx="398">
                  <c:v>39.8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</c:v>
                </c:pt>
                <c:pt idx="403">
                  <c:v>40.3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</c:v>
                </c:pt>
                <c:pt idx="408">
                  <c:v>40.8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64.1</c:v>
                </c:pt>
                <c:pt idx="642">
                  <c:v>64.2</c:v>
                </c:pt>
                <c:pt idx="643">
                  <c:v>64.3</c:v>
                </c:pt>
                <c:pt idx="644">
                  <c:v>64.4</c:v>
                </c:pt>
                <c:pt idx="645">
                  <c:v>64.5</c:v>
                </c:pt>
                <c:pt idx="646">
                  <c:v>64.6</c:v>
                </c:pt>
                <c:pt idx="647">
                  <c:v>64.7</c:v>
                </c:pt>
                <c:pt idx="648">
                  <c:v>64.8</c:v>
                </c:pt>
                <c:pt idx="649">
                  <c:v>64.9</c:v>
                </c:pt>
                <c:pt idx="650">
                  <c:v>65</c:v>
                </c:pt>
                <c:pt idx="651">
                  <c:v>65.1</c:v>
                </c:pt>
                <c:pt idx="652">
                  <c:v>65.2</c:v>
                </c:pt>
                <c:pt idx="653">
                  <c:v>65.3</c:v>
                </c:pt>
                <c:pt idx="654">
                  <c:v>65.4</c:v>
                </c:pt>
                <c:pt idx="655">
                  <c:v>65.5</c:v>
                </c:pt>
                <c:pt idx="656">
                  <c:v>65.6</c:v>
                </c:pt>
                <c:pt idx="657">
                  <c:v>65.7</c:v>
                </c:pt>
                <c:pt idx="658">
                  <c:v>65.8</c:v>
                </c:pt>
                <c:pt idx="659">
                  <c:v>65.9</c:v>
                </c:pt>
                <c:pt idx="660">
                  <c:v>66</c:v>
                </c:pt>
                <c:pt idx="661">
                  <c:v>66.1</c:v>
                </c:pt>
                <c:pt idx="662">
                  <c:v>66.2</c:v>
                </c:pt>
                <c:pt idx="663">
                  <c:v>66.3</c:v>
                </c:pt>
                <c:pt idx="664">
                  <c:v>66.4</c:v>
                </c:pt>
                <c:pt idx="665">
                  <c:v>66.5</c:v>
                </c:pt>
                <c:pt idx="666">
                  <c:v>66.6</c:v>
                </c:pt>
                <c:pt idx="667">
                  <c:v>66.7</c:v>
                </c:pt>
                <c:pt idx="668">
                  <c:v>66.8</c:v>
                </c:pt>
                <c:pt idx="669">
                  <c:v>66.9</c:v>
                </c:pt>
                <c:pt idx="670">
                  <c:v>67</c:v>
                </c:pt>
                <c:pt idx="671">
                  <c:v>67.1</c:v>
                </c:pt>
                <c:pt idx="672">
                  <c:v>67.2</c:v>
                </c:pt>
                <c:pt idx="673">
                  <c:v>67.3</c:v>
                </c:pt>
                <c:pt idx="674">
                  <c:v>67.4</c:v>
                </c:pt>
                <c:pt idx="675">
                  <c:v>67.5</c:v>
                </c:pt>
                <c:pt idx="676">
                  <c:v>67.6</c:v>
                </c:pt>
                <c:pt idx="677">
                  <c:v>67.7</c:v>
                </c:pt>
                <c:pt idx="678">
                  <c:v>67.8</c:v>
                </c:pt>
                <c:pt idx="679">
                  <c:v>67.9</c:v>
                </c:pt>
                <c:pt idx="680">
                  <c:v>68</c:v>
                </c:pt>
                <c:pt idx="681">
                  <c:v>68.1</c:v>
                </c:pt>
                <c:pt idx="682">
                  <c:v>68.2</c:v>
                </c:pt>
                <c:pt idx="683">
                  <c:v>68.3</c:v>
                </c:pt>
                <c:pt idx="684">
                  <c:v>68.4</c:v>
                </c:pt>
                <c:pt idx="685">
                  <c:v>68.5</c:v>
                </c:pt>
                <c:pt idx="686">
                  <c:v>68.6</c:v>
                </c:pt>
                <c:pt idx="687">
                  <c:v>68.7</c:v>
                </c:pt>
                <c:pt idx="688">
                  <c:v>68.8</c:v>
                </c:pt>
                <c:pt idx="689">
                  <c:v>68.9</c:v>
                </c:pt>
                <c:pt idx="690">
                  <c:v>69</c:v>
                </c:pt>
                <c:pt idx="691">
                  <c:v>69.1</c:v>
                </c:pt>
                <c:pt idx="692">
                  <c:v>69.2</c:v>
                </c:pt>
                <c:pt idx="693">
                  <c:v>69.3</c:v>
                </c:pt>
                <c:pt idx="694">
                  <c:v>69.4</c:v>
                </c:pt>
                <c:pt idx="695">
                  <c:v>69.5</c:v>
                </c:pt>
                <c:pt idx="696">
                  <c:v>69.6</c:v>
                </c:pt>
                <c:pt idx="697">
                  <c:v>69.7</c:v>
                </c:pt>
                <c:pt idx="698">
                  <c:v>69.8</c:v>
                </c:pt>
                <c:pt idx="699">
                  <c:v>69.9</c:v>
                </c:pt>
                <c:pt idx="700">
                  <c:v>70</c:v>
                </c:pt>
                <c:pt idx="701">
                  <c:v>70.1</c:v>
                </c:pt>
                <c:pt idx="702">
                  <c:v>70.2</c:v>
                </c:pt>
                <c:pt idx="703">
                  <c:v>70.3</c:v>
                </c:pt>
                <c:pt idx="704">
                  <c:v>70.4</c:v>
                </c:pt>
                <c:pt idx="705">
                  <c:v>70.5</c:v>
                </c:pt>
                <c:pt idx="706">
                  <c:v>70.6</c:v>
                </c:pt>
                <c:pt idx="707">
                  <c:v>70.7</c:v>
                </c:pt>
                <c:pt idx="708">
                  <c:v>70.8</c:v>
                </c:pt>
                <c:pt idx="709">
                  <c:v>70.9</c:v>
                </c:pt>
                <c:pt idx="710">
                  <c:v>71</c:v>
                </c:pt>
                <c:pt idx="711">
                  <c:v>71.1</c:v>
                </c:pt>
                <c:pt idx="712">
                  <c:v>71.2</c:v>
                </c:pt>
                <c:pt idx="713">
                  <c:v>71.3</c:v>
                </c:pt>
                <c:pt idx="714">
                  <c:v>71.4</c:v>
                </c:pt>
                <c:pt idx="715">
                  <c:v>71.5</c:v>
                </c:pt>
                <c:pt idx="716">
                  <c:v>71.6</c:v>
                </c:pt>
                <c:pt idx="717">
                  <c:v>71.7</c:v>
                </c:pt>
                <c:pt idx="718">
                  <c:v>71.8</c:v>
                </c:pt>
                <c:pt idx="719">
                  <c:v>71.9</c:v>
                </c:pt>
                <c:pt idx="720">
                  <c:v>72</c:v>
                </c:pt>
                <c:pt idx="721">
                  <c:v>72.1</c:v>
                </c:pt>
                <c:pt idx="722">
                  <c:v>72.2</c:v>
                </c:pt>
                <c:pt idx="723">
                  <c:v>72.3</c:v>
                </c:pt>
                <c:pt idx="724">
                  <c:v>72.4</c:v>
                </c:pt>
                <c:pt idx="725">
                  <c:v>72.5</c:v>
                </c:pt>
                <c:pt idx="726">
                  <c:v>72.6</c:v>
                </c:pt>
                <c:pt idx="727">
                  <c:v>72.7</c:v>
                </c:pt>
                <c:pt idx="728">
                  <c:v>72.8</c:v>
                </c:pt>
                <c:pt idx="729">
                  <c:v>72.9</c:v>
                </c:pt>
                <c:pt idx="730">
                  <c:v>73</c:v>
                </c:pt>
                <c:pt idx="731">
                  <c:v>73.1</c:v>
                </c:pt>
                <c:pt idx="732">
                  <c:v>73.2</c:v>
                </c:pt>
                <c:pt idx="733">
                  <c:v>73.3</c:v>
                </c:pt>
                <c:pt idx="734">
                  <c:v>73.4</c:v>
                </c:pt>
                <c:pt idx="735">
                  <c:v>73.5</c:v>
                </c:pt>
                <c:pt idx="736">
                  <c:v>73.6</c:v>
                </c:pt>
                <c:pt idx="737">
                  <c:v>73.7</c:v>
                </c:pt>
                <c:pt idx="738">
                  <c:v>73.8</c:v>
                </c:pt>
                <c:pt idx="739">
                  <c:v>73.9</c:v>
                </c:pt>
                <c:pt idx="740">
                  <c:v>74</c:v>
                </c:pt>
                <c:pt idx="741">
                  <c:v>74.1</c:v>
                </c:pt>
                <c:pt idx="742">
                  <c:v>74.2</c:v>
                </c:pt>
                <c:pt idx="743">
                  <c:v>74.3</c:v>
                </c:pt>
                <c:pt idx="744">
                  <c:v>74.4</c:v>
                </c:pt>
                <c:pt idx="745">
                  <c:v>74.5</c:v>
                </c:pt>
                <c:pt idx="746">
                  <c:v>74.6</c:v>
                </c:pt>
                <c:pt idx="747">
                  <c:v>74.7</c:v>
                </c:pt>
                <c:pt idx="748">
                  <c:v>74.8</c:v>
                </c:pt>
                <c:pt idx="749">
                  <c:v>74.9</c:v>
                </c:pt>
                <c:pt idx="750">
                  <c:v>75</c:v>
                </c:pt>
                <c:pt idx="751">
                  <c:v>75.1</c:v>
                </c:pt>
                <c:pt idx="752">
                  <c:v>75.2</c:v>
                </c:pt>
                <c:pt idx="753">
                  <c:v>75.3</c:v>
                </c:pt>
                <c:pt idx="754">
                  <c:v>75.4</c:v>
                </c:pt>
                <c:pt idx="755">
                  <c:v>75.5</c:v>
                </c:pt>
                <c:pt idx="756">
                  <c:v>75.6</c:v>
                </c:pt>
                <c:pt idx="757">
                  <c:v>75.7</c:v>
                </c:pt>
                <c:pt idx="758">
                  <c:v>75.8</c:v>
                </c:pt>
                <c:pt idx="759">
                  <c:v>75.9</c:v>
                </c:pt>
                <c:pt idx="760">
                  <c:v>76</c:v>
                </c:pt>
                <c:pt idx="761">
                  <c:v>76.1</c:v>
                </c:pt>
                <c:pt idx="762">
                  <c:v>76.2</c:v>
                </c:pt>
                <c:pt idx="763">
                  <c:v>76.3</c:v>
                </c:pt>
                <c:pt idx="764">
                  <c:v>76.4</c:v>
                </c:pt>
                <c:pt idx="765">
                  <c:v>76.5</c:v>
                </c:pt>
                <c:pt idx="766">
                  <c:v>76.6</c:v>
                </c:pt>
                <c:pt idx="767">
                  <c:v>76.7</c:v>
                </c:pt>
                <c:pt idx="768">
                  <c:v>76.8</c:v>
                </c:pt>
                <c:pt idx="769">
                  <c:v>76.9</c:v>
                </c:pt>
                <c:pt idx="770">
                  <c:v>77</c:v>
                </c:pt>
                <c:pt idx="771">
                  <c:v>77.1</c:v>
                </c:pt>
                <c:pt idx="772">
                  <c:v>77.2</c:v>
                </c:pt>
                <c:pt idx="773">
                  <c:v>77.3</c:v>
                </c:pt>
                <c:pt idx="774">
                  <c:v>77.4</c:v>
                </c:pt>
                <c:pt idx="775">
                  <c:v>77.5</c:v>
                </c:pt>
                <c:pt idx="776">
                  <c:v>77.6</c:v>
                </c:pt>
                <c:pt idx="777">
                  <c:v>77.7</c:v>
                </c:pt>
                <c:pt idx="778">
                  <c:v>77.8</c:v>
                </c:pt>
                <c:pt idx="779">
                  <c:v>77.9</c:v>
                </c:pt>
                <c:pt idx="780">
                  <c:v>78</c:v>
                </c:pt>
                <c:pt idx="781">
                  <c:v>78.1</c:v>
                </c:pt>
                <c:pt idx="782">
                  <c:v>78.2</c:v>
                </c:pt>
                <c:pt idx="783">
                  <c:v>78.3</c:v>
                </c:pt>
                <c:pt idx="784">
                  <c:v>78.4</c:v>
                </c:pt>
                <c:pt idx="785">
                  <c:v>78.5</c:v>
                </c:pt>
                <c:pt idx="786">
                  <c:v>78.6</c:v>
                </c:pt>
                <c:pt idx="787">
                  <c:v>78.7</c:v>
                </c:pt>
                <c:pt idx="788">
                  <c:v>78.8</c:v>
                </c:pt>
                <c:pt idx="789">
                  <c:v>78.9</c:v>
                </c:pt>
                <c:pt idx="790">
                  <c:v>79</c:v>
                </c:pt>
                <c:pt idx="791">
                  <c:v>79.1</c:v>
                </c:pt>
                <c:pt idx="792">
                  <c:v>79.2</c:v>
                </c:pt>
                <c:pt idx="793">
                  <c:v>79.3</c:v>
                </c:pt>
                <c:pt idx="794">
                  <c:v>79.4</c:v>
                </c:pt>
                <c:pt idx="795">
                  <c:v>79.5</c:v>
                </c:pt>
                <c:pt idx="796">
                  <c:v>79.6</c:v>
                </c:pt>
                <c:pt idx="797">
                  <c:v>79.7</c:v>
                </c:pt>
                <c:pt idx="798">
                  <c:v>79.8</c:v>
                </c:pt>
                <c:pt idx="799">
                  <c:v>79.9</c:v>
                </c:pt>
                <c:pt idx="800">
                  <c:v>80</c:v>
                </c:pt>
                <c:pt idx="801">
                  <c:v>80.1</c:v>
                </c:pt>
                <c:pt idx="802">
                  <c:v>80.2</c:v>
                </c:pt>
                <c:pt idx="803">
                  <c:v>80.3</c:v>
                </c:pt>
                <c:pt idx="804">
                  <c:v>80.4</c:v>
                </c:pt>
                <c:pt idx="805">
                  <c:v>80.5</c:v>
                </c:pt>
                <c:pt idx="806">
                  <c:v>80.6</c:v>
                </c:pt>
                <c:pt idx="807">
                  <c:v>80.7</c:v>
                </c:pt>
                <c:pt idx="808">
                  <c:v>80.8</c:v>
                </c:pt>
                <c:pt idx="809">
                  <c:v>80.9</c:v>
                </c:pt>
                <c:pt idx="810">
                  <c:v>81</c:v>
                </c:pt>
                <c:pt idx="811">
                  <c:v>81.1</c:v>
                </c:pt>
                <c:pt idx="812">
                  <c:v>81.2</c:v>
                </c:pt>
                <c:pt idx="813">
                  <c:v>81.3</c:v>
                </c:pt>
                <c:pt idx="814">
                  <c:v>81.4</c:v>
                </c:pt>
                <c:pt idx="815">
                  <c:v>81.5</c:v>
                </c:pt>
                <c:pt idx="816">
                  <c:v>81.6</c:v>
                </c:pt>
                <c:pt idx="817">
                  <c:v>81.7</c:v>
                </c:pt>
                <c:pt idx="818">
                  <c:v>81.8</c:v>
                </c:pt>
                <c:pt idx="819">
                  <c:v>81.9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</c:numCache>
            </c:numRef>
          </c:xVal>
          <c:yVal>
            <c:numRef>
              <c:f>Sheet1!$G$12:$G$1012</c:f>
              <c:numCache>
                <c:formatCode>General</c:formatCode>
                <c:ptCount val="1001"/>
                <c:pt idx="0">
                  <c:v>0</c:v>
                </c:pt>
                <c:pt idx="1">
                  <c:v>4.12766865492825E-006</c:v>
                </c:pt>
                <c:pt idx="2">
                  <c:v>8.18999201470453E-006</c:v>
                </c:pt>
                <c:pt idx="3">
                  <c:v>1.218800456343E-005</c:v>
                </c:pt>
                <c:pt idx="4">
                  <c:v>1.61227244082449E-005</c:v>
                </c:pt>
                <c:pt idx="5">
                  <c:v>1.99951535385924E-005</c:v>
                </c:pt>
                <c:pt idx="6">
                  <c:v>2.38062780813792E-005</c:v>
                </c:pt>
                <c:pt idx="7">
                  <c:v>2.75570685520956E-005</c:v>
                </c:pt>
                <c:pt idx="8">
                  <c:v>3.12484801019605E-005</c:v>
                </c:pt>
                <c:pt idx="9">
                  <c:v>3.48814527611539E-005</c:v>
                </c:pt>
                <c:pt idx="10">
                  <c:v>3.84569116781989E-005</c:v>
                </c:pt>
                <c:pt idx="11">
                  <c:v>4.19757673555533E-005</c:v>
                </c:pt>
                <c:pt idx="12">
                  <c:v>4.54389158814726E-005</c:v>
                </c:pt>
                <c:pt idx="13">
                  <c:v>4.88472391582017E-005</c:v>
                </c:pt>
                <c:pt idx="14">
                  <c:v>5.22016051265539E-005</c:v>
                </c:pt>
                <c:pt idx="15">
                  <c:v>5.55028679869355E-005</c:v>
                </c:pt>
                <c:pt idx="16">
                  <c:v>5.87518684168703E-005</c:v>
                </c:pt>
                <c:pt idx="17">
                  <c:v>6.19494337850809E-005</c:v>
                </c:pt>
                <c:pt idx="18">
                  <c:v>6.50963783621813E-005</c:v>
                </c:pt>
                <c:pt idx="19">
                  <c:v>6.81935035280332E-005</c:v>
                </c:pt>
                <c:pt idx="20">
                  <c:v>7.12415979758201E-005</c:v>
                </c:pt>
                <c:pt idx="21">
                  <c:v>7.4241437912891E-005</c:v>
                </c:pt>
                <c:pt idx="22">
                  <c:v>7.71937872584235E-005</c:v>
                </c:pt>
                <c:pt idx="23">
                  <c:v>8.00993978379592E-005</c:v>
                </c:pt>
                <c:pt idx="24">
                  <c:v>8.29590095748576E-005</c:v>
                </c:pt>
                <c:pt idx="25">
                  <c:v>8.5773350678721E-005</c:v>
                </c:pt>
                <c:pt idx="26">
                  <c:v>8.85431378308348E-005</c:v>
                </c:pt>
                <c:pt idx="27">
                  <c:v>9.12690763666728E-005</c:v>
                </c:pt>
                <c:pt idx="28">
                  <c:v>9.39518604555138E-005</c:v>
                </c:pt>
                <c:pt idx="29">
                  <c:v>9.65921732772135E-005</c:v>
                </c:pt>
                <c:pt idx="30">
                  <c:v>9.91906871961787E-005</c:v>
                </c:pt>
                <c:pt idx="31">
                  <c:v>0.000101748063932587</c:v>
                </c:pt>
                <c:pt idx="32">
                  <c:v>0.000104264954730897</c:v>
                </c:pt>
                <c:pt idx="33">
                  <c:v>0.000106742000525688</c:v>
                </c:pt>
                <c:pt idx="34">
                  <c:v>0.000109179832104877</c:v>
                </c:pt>
                <c:pt idx="35">
                  <c:v>0.000111579070270353</c:v>
                </c:pt>
                <c:pt idx="36">
                  <c:v>0.000113940325996062</c:v>
                </c:pt>
                <c:pt idx="37">
                  <c:v>0.000116264200583597</c:v>
                </c:pt>
                <c:pt idx="38">
                  <c:v>0.000118551285815321</c:v>
                </c:pt>
                <c:pt idx="39">
                  <c:v>0.000120802164105063</c:v>
                </c:pt>
                <c:pt idx="40">
                  <c:v>0.000123017408646438</c:v>
                </c:pt>
                <c:pt idx="41">
                  <c:v>0.000125197583558807</c:v>
                </c:pt>
                <c:pt idx="42">
                  <c:v>0.000127343244030933</c:v>
                </c:pt>
                <c:pt idx="43">
                  <c:v>0.000129454936462364</c:v>
                </c:pt>
                <c:pt idx="44">
                  <c:v>0.000131533198602573</c:v>
                </c:pt>
                <c:pt idx="45">
                  <c:v>0.000133578559687899</c:v>
                </c:pt>
                <c:pt idx="46">
                  <c:v>0.000135591540576318</c:v>
                </c:pt>
                <c:pt idx="47">
                  <c:v>0.000137572653880082</c:v>
                </c:pt>
                <c:pt idx="48">
                  <c:v>0.000139522404096256</c:v>
                </c:pt>
                <c:pt idx="49">
                  <c:v>0.000141441287735193</c:v>
                </c:pt>
                <c:pt idx="50">
                  <c:v>0.000143329793446968</c:v>
                </c:pt>
                <c:pt idx="51">
                  <c:v>0.000145188402145817</c:v>
                </c:pt>
                <c:pt idx="52">
                  <c:v>0.000147017587132601</c:v>
                </c:pt>
                <c:pt idx="53">
                  <c:v>0.000148817814215339</c:v>
                </c:pt>
                <c:pt idx="54">
                  <c:v>0.000150589541827819</c:v>
                </c:pt>
                <c:pt idx="55">
                  <c:v>0.000152333221146348</c:v>
                </c:pt>
                <c:pt idx="56">
                  <c:v>0.00015404929620464</c:v>
                </c:pt>
                <c:pt idx="57">
                  <c:v>0.000155738204006895</c:v>
                </c:pt>
                <c:pt idx="58">
                  <c:v>0.00015740037463908</c:v>
                </c:pt>
                <c:pt idx="59">
                  <c:v>0.000159036231378451</c:v>
                </c:pt>
                <c:pt idx="60">
                  <c:v>0.000160646190801347</c:v>
                </c:pt>
                <c:pt idx="61">
                  <c:v>0.000162230662889269</c:v>
                </c:pt>
                <c:pt idx="62">
                  <c:v>0.000163790051133282</c:v>
                </c:pt>
                <c:pt idx="63">
                  <c:v>0.00016532475263677</c:v>
                </c:pt>
                <c:pt idx="64">
                  <c:v>0.000166835158216554</c:v>
                </c:pt>
                <c:pt idx="65">
                  <c:v>0.000168321652502418</c:v>
                </c:pt>
                <c:pt idx="66">
                  <c:v>0.000169784614035057</c:v>
                </c:pt>
                <c:pt idx="67">
                  <c:v>0.000171224415362471</c:v>
                </c:pt>
                <c:pt idx="68">
                  <c:v>0.000172641423134839</c:v>
                </c:pt>
                <c:pt idx="69">
                  <c:v>0.000174035998197884</c:v>
                </c:pt>
                <c:pt idx="70">
                  <c:v>0.000175408495684766</c:v>
                </c:pt>
                <c:pt idx="71">
                  <c:v>0.000176759265106516</c:v>
                </c:pt>
                <c:pt idx="72">
                  <c:v>0.000178088650441042</c:v>
                </c:pt>
                <c:pt idx="73">
                  <c:v>0.000179396990220725</c:v>
                </c:pt>
                <c:pt idx="74">
                  <c:v>0.000180684617618622</c:v>
                </c:pt>
                <c:pt idx="75">
                  <c:v>0.000181951860533318</c:v>
                </c:pt>
                <c:pt idx="76">
                  <c:v>0.000183199041672417</c:v>
                </c:pt>
                <c:pt idx="77">
                  <c:v>0.000184426478634729</c:v>
                </c:pt>
                <c:pt idx="78">
                  <c:v>0.000185634483991142</c:v>
                </c:pt>
                <c:pt idx="79">
                  <c:v>0.000186823365364223</c:v>
                </c:pt>
                <c:pt idx="80">
                  <c:v>0.000187993425506551</c:v>
                </c:pt>
                <c:pt idx="81">
                  <c:v>0.000189144962377817</c:v>
                </c:pt>
                <c:pt idx="82">
                  <c:v>0.000190278269220702</c:v>
                </c:pt>
                <c:pt idx="83">
                  <c:v>0.000191393634635546</c:v>
                </c:pt>
                <c:pt idx="84">
                  <c:v>0.000192491342653848</c:v>
                </c:pt>
                <c:pt idx="85">
                  <c:v>0.000193571672810592</c:v>
                </c:pt>
                <c:pt idx="86">
                  <c:v>0.000194634900215429</c:v>
                </c:pt>
                <c:pt idx="87">
                  <c:v>0.000195681295622742</c:v>
                </c:pt>
                <c:pt idx="88">
                  <c:v>0.000196711125500587</c:v>
                </c:pt>
                <c:pt idx="89">
                  <c:v>0.000197724652098554</c:v>
                </c:pt>
                <c:pt idx="90">
                  <c:v>0.000198722133514549</c:v>
                </c:pt>
                <c:pt idx="91">
                  <c:v>0.00019970382376052</c:v>
                </c:pt>
                <c:pt idx="92">
                  <c:v>0.000200669972827138</c:v>
                </c:pt>
                <c:pt idx="93">
                  <c:v>0.000201620826747465</c:v>
                </c:pt>
                <c:pt idx="94">
                  <c:v>0.000202556627659602</c:v>
                </c:pt>
                <c:pt idx="95">
                  <c:v>0.000203477613868351</c:v>
                </c:pt>
                <c:pt idx="96">
                  <c:v>0.0002043840199059</c:v>
                </c:pt>
                <c:pt idx="97">
                  <c:v>0.000205276076591551</c:v>
                </c:pt>
                <c:pt idx="98">
                  <c:v>0.000206154011090493</c:v>
                </c:pt>
                <c:pt idx="99">
                  <c:v>0.000207018046971655</c:v>
                </c:pt>
                <c:pt idx="100">
                  <c:v>0.000207868404264637</c:v>
                </c:pt>
                <c:pt idx="101">
                  <c:v>0.00020870529951574</c:v>
                </c:pt>
                <c:pt idx="102">
                  <c:v>0.000209528945843112</c:v>
                </c:pt>
                <c:pt idx="103">
                  <c:v>0.00021033955299102</c:v>
                </c:pt>
                <c:pt idx="104">
                  <c:v>0.000211137327383258</c:v>
                </c:pt>
                <c:pt idx="105">
                  <c:v>0.000211922472175718</c:v>
                </c:pt>
                <c:pt idx="106">
                  <c:v>0.000212695187308124</c:v>
                </c:pt>
                <c:pt idx="107">
                  <c:v>0.000213455669554943</c:v>
                </c:pt>
                <c:pt idx="108">
                  <c:v>0.000214204112575499</c:v>
                </c:pt>
                <c:pt idx="109">
                  <c:v>0.000214940706963286</c:v>
                </c:pt>
                <c:pt idx="110">
                  <c:v>0.000215665640294506</c:v>
                </c:pt>
                <c:pt idx="111">
                  <c:v>0.000216379097175833</c:v>
                </c:pt>
                <c:pt idx="112">
                  <c:v>0.000217081259291424</c:v>
                </c:pt>
                <c:pt idx="113">
                  <c:v>0.00021777230544919</c:v>
                </c:pt>
                <c:pt idx="114">
                  <c:v>0.000218452411626323</c:v>
                </c:pt>
                <c:pt idx="115">
                  <c:v>0.000219121751014114</c:v>
                </c:pt>
                <c:pt idx="116">
                  <c:v>0.000219780494062057</c:v>
                </c:pt>
                <c:pt idx="117">
                  <c:v>0.000220428808521249</c:v>
                </c:pt>
                <c:pt idx="118">
                  <c:v>0.000221066859487117</c:v>
                </c:pt>
                <c:pt idx="119">
                  <c:v>0.000221694809441452</c:v>
                </c:pt>
                <c:pt idx="120">
                  <c:v>0.000222312818293791</c:v>
                </c:pt>
                <c:pt idx="121">
                  <c:v>0.000222921043422134</c:v>
                </c:pt>
                <c:pt idx="122">
                  <c:v>0.000223519639713027</c:v>
                </c:pt>
                <c:pt idx="123">
                  <c:v>0.000224108759600996</c:v>
                </c:pt>
                <c:pt idx="124">
                  <c:v>0.000224688553107375</c:v>
                </c:pt>
                <c:pt idx="125">
                  <c:v>0.000225259167878498</c:v>
                </c:pt>
                <c:pt idx="126">
                  <c:v>0.00022582074922331</c:v>
                </c:pt>
                <c:pt idx="127">
                  <c:v>0.000226373440150358</c:v>
                </c:pt>
                <c:pt idx="128">
                  <c:v>0.000226917381404219</c:v>
                </c:pt>
                <c:pt idx="129">
                  <c:v>0.000227452711501336</c:v>
                </c:pt>
                <c:pt idx="130">
                  <c:v>0.00022797956676529</c:v>
                </c:pt>
                <c:pt idx="131">
                  <c:v>0.00022849808136152</c:v>
                </c:pt>
                <c:pt idx="132">
                  <c:v>0.000229008387331485</c:v>
                </c:pt>
                <c:pt idx="133">
                  <c:v>0.000229510614626292</c:v>
                </c:pt>
                <c:pt idx="134">
                  <c:v>0.000230004891139785</c:v>
                </c:pt>
                <c:pt idx="135">
                  <c:v>0.000230491342741116</c:v>
                </c:pt>
                <c:pt idx="136">
                  <c:v>0.000230970093306795</c:v>
                </c:pt>
                <c:pt idx="137">
                  <c:v>0.000231441264752242</c:v>
                </c:pt>
                <c:pt idx="138">
                  <c:v>0.000231904977062825</c:v>
                </c:pt>
                <c:pt idx="139">
                  <c:v>0.00023236134832442</c:v>
                </c:pt>
                <c:pt idx="140">
                  <c:v>0.000232810494753481</c:v>
                </c:pt>
                <c:pt idx="141">
                  <c:v>0.000233252530726634</c:v>
                </c:pt>
                <c:pt idx="142">
                  <c:v>0.000233687568809804</c:v>
                </c:pt>
                <c:pt idx="143">
                  <c:v>0.00023411571978688</c:v>
                </c:pt>
                <c:pt idx="144">
                  <c:v>0.000234537092687927</c:v>
                </c:pt>
                <c:pt idx="145">
                  <c:v>0.00023495179481695</c:v>
                </c:pt>
                <c:pt idx="146">
                  <c:v>0.00023535993177922</c:v>
                </c:pt>
                <c:pt idx="147">
                  <c:v>0.000235761607508166</c:v>
                </c:pt>
                <c:pt idx="148">
                  <c:v>0.000236156924291844</c:v>
                </c:pt>
                <c:pt idx="149">
                  <c:v>0.000236545982798982</c:v>
                </c:pt>
                <c:pt idx="150">
                  <c:v>0.000236928882104617</c:v>
                </c:pt>
                <c:pt idx="151">
                  <c:v>0.000237305719715327</c:v>
                </c:pt>
                <c:pt idx="152">
                  <c:v>0.000237676591594057</c:v>
                </c:pt>
                <c:pt idx="153">
                  <c:v>0.00023804159218456</c:v>
                </c:pt>
                <c:pt idx="154">
                  <c:v>0.000238400814435445</c:v>
                </c:pt>
                <c:pt idx="155">
                  <c:v>0.000238754349823849</c:v>
                </c:pt>
                <c:pt idx="156">
                  <c:v>0.00023910228837873</c:v>
                </c:pt>
                <c:pt idx="157">
                  <c:v>0.000239444718703792</c:v>
                </c:pt>
                <c:pt idx="158">
                  <c:v>0.000239781728000054</c:v>
                </c:pt>
                <c:pt idx="159">
                  <c:v>0.000240113402088048</c:v>
                </c:pt>
                <c:pt idx="160">
                  <c:v>0.000240439825429679</c:v>
                </c:pt>
                <c:pt idx="161">
                  <c:v>0.000240761081149734</c:v>
                </c:pt>
                <c:pt idx="162">
                  <c:v>0.000241077251057046</c:v>
                </c:pt>
                <c:pt idx="163">
                  <c:v>0.000241388415665328</c:v>
                </c:pt>
                <c:pt idx="164">
                  <c:v>0.000241694654213679</c:v>
                </c:pt>
                <c:pt idx="165">
                  <c:v>0.00024199604468676</c:v>
                </c:pt>
                <c:pt idx="166">
                  <c:v>0.000242292663834654</c:v>
                </c:pt>
                <c:pt idx="167">
                  <c:v>0.000242584587192408</c:v>
                </c:pt>
                <c:pt idx="168">
                  <c:v>0.000242871889099274</c:v>
                </c:pt>
                <c:pt idx="169">
                  <c:v>0.000243154642717633</c:v>
                </c:pt>
                <c:pt idx="170">
                  <c:v>0.000243432920051631</c:v>
                </c:pt>
                <c:pt idx="171">
                  <c:v>0.000243706791965514</c:v>
                </c:pt>
                <c:pt idx="172">
                  <c:v>0.00024397632820167</c:v>
                </c:pt>
                <c:pt idx="173">
                  <c:v>0.000244241597398397</c:v>
                </c:pt>
                <c:pt idx="174">
                  <c:v>0.000244502667107373</c:v>
                </c:pt>
                <c:pt idx="175">
                  <c:v>0.000244759603810864</c:v>
                </c:pt>
                <c:pt idx="176">
                  <c:v>0.000245012472938654</c:v>
                </c:pt>
                <c:pt idx="177">
                  <c:v>0.000245261338884703</c:v>
                </c:pt>
                <c:pt idx="178">
                  <c:v>0.00024550626502355</c:v>
                </c:pt>
                <c:pt idx="179">
                  <c:v>0.000245747313726446</c:v>
                </c:pt>
                <c:pt idx="180">
                  <c:v>0.000245984546377242</c:v>
                </c:pt>
                <c:pt idx="181">
                  <c:v>0.00024621802338802</c:v>
                </c:pt>
                <c:pt idx="182">
                  <c:v>0.000246447804214473</c:v>
                </c:pt>
                <c:pt idx="183">
                  <c:v>0.000246673947371049</c:v>
                </c:pt>
                <c:pt idx="184">
                  <c:v>0.000246896510445854</c:v>
                </c:pt>
                <c:pt idx="185">
                  <c:v>0.00024711555011531</c:v>
                </c:pt>
                <c:pt idx="186">
                  <c:v>0.000247331122158596</c:v>
                </c:pt>
                <c:pt idx="187">
                  <c:v>0.000247543281471847</c:v>
                </c:pt>
                <c:pt idx="188">
                  <c:v>0.000247752082082134</c:v>
                </c:pt>
                <c:pt idx="189">
                  <c:v>0.000247957577161225</c:v>
                </c:pt>
                <c:pt idx="190">
                  <c:v>0.000248159819039122</c:v>
                </c:pt>
                <c:pt idx="191">
                  <c:v>0.00024835885921739</c:v>
                </c:pt>
                <c:pt idx="192">
                  <c:v>0.000248554748382269</c:v>
                </c:pt>
                <c:pt idx="193">
                  <c:v>0.000248747536417584</c:v>
                </c:pt>
                <c:pt idx="194">
                  <c:v>0.000248937272417446</c:v>
                </c:pt>
                <c:pt idx="195">
                  <c:v>0.000249124004698758</c:v>
                </c:pt>
                <c:pt idx="196">
                  <c:v>0.000249307780813512</c:v>
                </c:pt>
                <c:pt idx="197">
                  <c:v>0.000249488647560906</c:v>
                </c:pt>
                <c:pt idx="198">
                  <c:v>0.000249666650999255</c:v>
                </c:pt>
                <c:pt idx="199">
                  <c:v>0.000249841836457726</c:v>
                </c:pt>
                <c:pt idx="200">
                  <c:v>0.000250014248547874</c:v>
                </c:pt>
                <c:pt idx="201">
                  <c:v>0.000250183931175011</c:v>
                </c:pt>
                <c:pt idx="202">
                  <c:v>0.000250350927549379</c:v>
                </c:pt>
                <c:pt idx="203">
                  <c:v>0.000250515280197159</c:v>
                </c:pt>
                <c:pt idx="204">
                  <c:v>0.000250677030971296</c:v>
                </c:pt>
                <c:pt idx="205">
                  <c:v>0.000250836221062161</c:v>
                </c:pt>
                <c:pt idx="206">
                  <c:v>0.000250992891008038</c:v>
                </c:pt>
                <c:pt idx="207">
                  <c:v>0.000251147080705447</c:v>
                </c:pt>
                <c:pt idx="208">
                  <c:v>0.000251298829419307</c:v>
                </c:pt>
                <c:pt idx="209">
                  <c:v>0.000251448175792929</c:v>
                </c:pt>
                <c:pt idx="210">
                  <c:v>0.000251595157857863</c:v>
                </c:pt>
                <c:pt idx="211">
                  <c:v>0.000251739813043578</c:v>
                </c:pt>
                <c:pt idx="212">
                  <c:v>0.000251882178186997</c:v>
                </c:pt>
                <c:pt idx="213">
                  <c:v>0.000252022289541874</c:v>
                </c:pt>
                <c:pt idx="214">
                  <c:v>0.000252160182788031</c:v>
                </c:pt>
                <c:pt idx="215">
                  <c:v>0.00025229589304044</c:v>
                </c:pt>
                <c:pt idx="216">
                  <c:v>0.000252429454858165</c:v>
                </c:pt>
                <c:pt idx="217">
                  <c:v>0.000252560902253166</c:v>
                </c:pt>
                <c:pt idx="218">
                  <c:v>0.000252690268698959</c:v>
                </c:pt>
                <c:pt idx="219">
                  <c:v>0.000252817587139136</c:v>
                </c:pt>
                <c:pt idx="220">
                  <c:v>0.00025294288999576</c:v>
                </c:pt>
                <c:pt idx="221">
                  <c:v>0.000253066209177619</c:v>
                </c:pt>
                <c:pt idx="222">
                  <c:v>0.000253187576088352</c:v>
                </c:pt>
                <c:pt idx="223">
                  <c:v>0.000253307021634443</c:v>
                </c:pt>
                <c:pt idx="224">
                  <c:v>0.000253424576233098</c:v>
                </c:pt>
                <c:pt idx="225">
                  <c:v>0.000253540269819983</c:v>
                </c:pt>
                <c:pt idx="226">
                  <c:v>0.000253654131856854</c:v>
                </c:pt>
                <c:pt idx="227">
                  <c:v>0.000253766191339057</c:v>
                </c:pt>
                <c:pt idx="228">
                  <c:v>0.000253876476802909</c:v>
                </c:pt>
                <c:pt idx="229">
                  <c:v>0.000253985016332968</c:v>
                </c:pt>
                <c:pt idx="230">
                  <c:v>0.000254091837569187</c:v>
                </c:pt>
                <c:pt idx="231">
                  <c:v>0.000254196967713947</c:v>
                </c:pt>
                <c:pt idx="232">
                  <c:v>0.000254300433538987</c:v>
                </c:pt>
                <c:pt idx="233">
                  <c:v>0.000254402261392222</c:v>
                </c:pt>
                <c:pt idx="234">
                  <c:v>0.000254502477204453</c:v>
                </c:pt>
                <c:pt idx="235">
                  <c:v>0.000254601106495969</c:v>
                </c:pt>
                <c:pt idx="236">
                  <c:v>0.000254698174383044</c:v>
                </c:pt>
                <c:pt idx="237">
                  <c:v>0.000254793705584338</c:v>
                </c:pt>
                <c:pt idx="238">
                  <c:v>0.000254887724427188</c:v>
                </c:pt>
                <c:pt idx="239">
                  <c:v>0.000254980254853804</c:v>
                </c:pt>
                <c:pt idx="240">
                  <c:v>0.000255071320427365</c:v>
                </c:pt>
                <c:pt idx="241">
                  <c:v>0.000255160944338021</c:v>
                </c:pt>
                <c:pt idx="242">
                  <c:v>0.000255249149408798</c:v>
                </c:pt>
                <c:pt idx="243">
                  <c:v>0.000255335958101411</c:v>
                </c:pt>
                <c:pt idx="244">
                  <c:v>0.000255421392521978</c:v>
                </c:pt>
                <c:pt idx="245">
                  <c:v>0.00025550547442666</c:v>
                </c:pt>
                <c:pt idx="246">
                  <c:v>0.000255588225227191</c:v>
                </c:pt>
                <c:pt idx="247">
                  <c:v>0.000255669665996338</c:v>
                </c:pt>
                <c:pt idx="248">
                  <c:v>0.000255749817473261</c:v>
                </c:pt>
                <c:pt idx="249">
                  <c:v>0.000255828700068799</c:v>
                </c:pt>
                <c:pt idx="250">
                  <c:v>0.000255906333870668</c:v>
                </c:pt>
                <c:pt idx="251">
                  <c:v>0.000255982738648572</c:v>
                </c:pt>
                <c:pt idx="252">
                  <c:v>0.00025605793385924</c:v>
                </c:pt>
                <c:pt idx="253">
                  <c:v>0.000256131938651383</c:v>
                </c:pt>
                <c:pt idx="254">
                  <c:v>0.000256204771870565</c:v>
                </c:pt>
                <c:pt idx="255">
                  <c:v>0.000256276452064008</c:v>
                </c:pt>
                <c:pt idx="256">
                  <c:v>0.000256346997485309</c:v>
                </c:pt>
                <c:pt idx="257">
                  <c:v>0.000256416426099095</c:v>
                </c:pt>
                <c:pt idx="258">
                  <c:v>0.000256484755585592</c:v>
                </c:pt>
                <c:pt idx="259">
                  <c:v>0.000256552003345129</c:v>
                </c:pt>
                <c:pt idx="260">
                  <c:v>0.000256618186502572</c:v>
                </c:pt>
                <c:pt idx="261">
                  <c:v>0.00025668332191168</c:v>
                </c:pt>
                <c:pt idx="262">
                  <c:v>0.000256747426159402</c:v>
                </c:pt>
                <c:pt idx="263">
                  <c:v>0.000256810515570097</c:v>
                </c:pt>
                <c:pt idx="264">
                  <c:v>0.000256872606209692</c:v>
                </c:pt>
                <c:pt idx="265">
                  <c:v>0.000256933713889774</c:v>
                </c:pt>
                <c:pt idx="266">
                  <c:v>0.000256993854171616</c:v>
                </c:pt>
                <c:pt idx="267">
                  <c:v>0.00025705304237014</c:v>
                </c:pt>
                <c:pt idx="268">
                  <c:v>0.000257111293557818</c:v>
                </c:pt>
                <c:pt idx="269">
                  <c:v>0.000257168622568506</c:v>
                </c:pt>
                <c:pt idx="270">
                  <c:v>0.000257225044001228</c:v>
                </c:pt>
                <c:pt idx="271">
                  <c:v>0.000257280572223888</c:v>
                </c:pt>
                <c:pt idx="272">
                  <c:v>0.000257335221376933</c:v>
                </c:pt>
                <c:pt idx="273">
                  <c:v>0.000257389005376949</c:v>
                </c:pt>
                <c:pt idx="274">
                  <c:v>0.000257441937920211</c:v>
                </c:pt>
                <c:pt idx="275">
                  <c:v>0.000257494032486167</c:v>
                </c:pt>
                <c:pt idx="276">
                  <c:v>0.000257545302340869</c:v>
                </c:pt>
                <c:pt idx="277">
                  <c:v>0.000257595760540357</c:v>
                </c:pt>
                <c:pt idx="278">
                  <c:v>0.000257645419933978</c:v>
                </c:pt>
                <c:pt idx="279">
                  <c:v>0.000257694293167661</c:v>
                </c:pt>
                <c:pt idx="280">
                  <c:v>0.000257742392687137</c:v>
                </c:pt>
                <c:pt idx="281">
                  <c:v>0.000257789730741108</c:v>
                </c:pt>
                <c:pt idx="282">
                  <c:v>0.000257836319384366</c:v>
                </c:pt>
                <c:pt idx="283">
                  <c:v>0.000257882170480864</c:v>
                </c:pt>
                <c:pt idx="284">
                  <c:v>0.000257927295706735</c:v>
                </c:pt>
                <c:pt idx="285">
                  <c:v>0.000257971706553268</c:v>
                </c:pt>
                <c:pt idx="286">
                  <c:v>0.000258015414329831</c:v>
                </c:pt>
                <c:pt idx="287">
                  <c:v>0.000258058430166755</c:v>
                </c:pt>
                <c:pt idx="288">
                  <c:v>0.000258100765018165</c:v>
                </c:pt>
                <c:pt idx="289">
                  <c:v>0.000258142429664771</c:v>
                </c:pt>
                <c:pt idx="290">
                  <c:v>0.000258183434716614</c:v>
                </c:pt>
                <c:pt idx="291">
                  <c:v>0.000258223790615766</c:v>
                </c:pt>
                <c:pt idx="292">
                  <c:v>0.000258263507638991</c:v>
                </c:pt>
                <c:pt idx="293">
                  <c:v>0.000258302595900359</c:v>
                </c:pt>
                <c:pt idx="294">
                  <c:v>0.000258341065353826</c:v>
                </c:pt>
                <c:pt idx="295">
                  <c:v>0.000258378925795766</c:v>
                </c:pt>
                <c:pt idx="296">
                  <c:v>0.000258416186867465</c:v>
                </c:pt>
                <c:pt idx="297">
                  <c:v>0.00025845285805758</c:v>
                </c:pt>
                <c:pt idx="298">
                  <c:v>0.00025848894870455</c:v>
                </c:pt>
                <c:pt idx="299">
                  <c:v>0.000258524467998979</c:v>
                </c:pt>
                <c:pt idx="300">
                  <c:v>0.000258559424985971</c:v>
                </c:pt>
                <c:pt idx="301">
                  <c:v>0.000258593828567439</c:v>
                </c:pt>
                <c:pt idx="302">
                  <c:v>0.000258627687504371</c:v>
                </c:pt>
                <c:pt idx="303">
                  <c:v>0.000258661010419055</c:v>
                </c:pt>
                <c:pt idx="304">
                  <c:v>0.000258693805797283</c:v>
                </c:pt>
                <c:pt idx="305">
                  <c:v>0.000258726081990506</c:v>
                </c:pt>
                <c:pt idx="306">
                  <c:v>0.000258757847217964</c:v>
                </c:pt>
                <c:pt idx="307">
                  <c:v>0.000258789109568777</c:v>
                </c:pt>
                <c:pt idx="308">
                  <c:v>0.000258819877004007</c:v>
                </c:pt>
                <c:pt idx="309">
                  <c:v>0.000258850157358682</c:v>
                </c:pt>
                <c:pt idx="310">
                  <c:v>0.000258879958343796</c:v>
                </c:pt>
                <c:pt idx="311">
                  <c:v>0.000258909287548268</c:v>
                </c:pt>
                <c:pt idx="312">
                  <c:v>0.000258938152440877</c:v>
                </c:pt>
                <c:pt idx="313">
                  <c:v>0.000258966560372163</c:v>
                </c:pt>
                <c:pt idx="314">
                  <c:v>0.000258994518576301</c:v>
                </c:pt>
                <c:pt idx="315">
                  <c:v>0.000259022034172939</c:v>
                </c:pt>
                <c:pt idx="316">
                  <c:v>0.000259049114169016</c:v>
                </c:pt>
                <c:pt idx="317">
                  <c:v>0.000259075765460543</c:v>
                </c:pt>
                <c:pt idx="318">
                  <c:v>0.000259101994834358</c:v>
                </c:pt>
                <c:pt idx="319">
                  <c:v>0.000259127808969859</c:v>
                </c:pt>
                <c:pt idx="320">
                  <c:v>0.000259153214440701</c:v>
                </c:pt>
                <c:pt idx="321">
                  <c:v>0.000259178217716472</c:v>
                </c:pt>
                <c:pt idx="322">
                  <c:v>0.000259202825164337</c:v>
                </c:pt>
                <c:pt idx="323">
                  <c:v>0.000259227043050666</c:v>
                </c:pt>
                <c:pt idx="324">
                  <c:v>0.000259250877542624</c:v>
                </c:pt>
                <c:pt idx="325">
                  <c:v>0.000259274334709742</c:v>
                </c:pt>
                <c:pt idx="326">
                  <c:v>0.000259297420525467</c:v>
                </c:pt>
                <c:pt idx="327">
                  <c:v>0.000259320140868676</c:v>
                </c:pt>
                <c:pt idx="328">
                  <c:v>0.000259342501525182</c:v>
                </c:pt>
                <c:pt idx="329">
                  <c:v>0.0002593645081892</c:v>
                </c:pt>
                <c:pt idx="330">
                  <c:v>0.000259386166464798</c:v>
                </c:pt>
                <c:pt idx="331">
                  <c:v>0.00025940748186733</c:v>
                </c:pt>
                <c:pt idx="332">
                  <c:v>0.000259428459824832</c:v>
                </c:pt>
                <c:pt idx="333">
                  <c:v>0.000259449105679412</c:v>
                </c:pt>
                <c:pt idx="334">
                  <c:v>0.000259469424688604</c:v>
                </c:pt>
                <c:pt idx="335">
                  <c:v>0.000259489422026712</c:v>
                </c:pt>
                <c:pt idx="336">
                  <c:v>0.000259509102786123</c:v>
                </c:pt>
                <c:pt idx="337">
                  <c:v>0.000259528471978609</c:v>
                </c:pt>
                <c:pt idx="338">
                  <c:v>0.000259547534536599</c:v>
                </c:pt>
                <c:pt idx="339">
                  <c:v>0.000259566295314435</c:v>
                </c:pt>
                <c:pt idx="340">
                  <c:v>0.000259584759089612</c:v>
                </c:pt>
                <c:pt idx="341">
                  <c:v>0.000259602930563993</c:v>
                </c:pt>
                <c:pt idx="342">
                  <c:v>0.000259620814365002</c:v>
                </c:pt>
                <c:pt idx="343">
                  <c:v>0.000259638415046809</c:v>
                </c:pt>
                <c:pt idx="344">
                  <c:v>0.000259655737091487</c:v>
                </c:pt>
                <c:pt idx="345">
                  <c:v>0.00025967278491015</c:v>
                </c:pt>
                <c:pt idx="346">
                  <c:v>0.000259689562844083</c:v>
                </c:pt>
                <c:pt idx="347">
                  <c:v>0.000259706075165842</c:v>
                </c:pt>
                <c:pt idx="348">
                  <c:v>0.000259722326080345</c:v>
                </c:pt>
                <c:pt idx="349">
                  <c:v>0.00025973831972594</c:v>
                </c:pt>
                <c:pt idx="350">
                  <c:v>0.000259754060175462</c:v>
                </c:pt>
                <c:pt idx="351">
                  <c:v>0.00025976955143727</c:v>
                </c:pt>
                <c:pt idx="352">
                  <c:v>0.000259784797456264</c:v>
                </c:pt>
                <c:pt idx="353">
                  <c:v>0.000259799802114894</c:v>
                </c:pt>
                <c:pt idx="354">
                  <c:v>0.000259814569234145</c:v>
                </c:pt>
                <c:pt idx="355">
                  <c:v>0.000259829102574513</c:v>
                </c:pt>
                <c:pt idx="356">
                  <c:v>0.000259843405836962</c:v>
                </c:pt>
                <c:pt idx="357">
                  <c:v>0.000259857482663865</c:v>
                </c:pt>
                <c:pt idx="358">
                  <c:v>0.000259871336639932</c:v>
                </c:pt>
                <c:pt idx="359">
                  <c:v>0.000259884971293125</c:v>
                </c:pt>
                <c:pt idx="360">
                  <c:v>0.000259898390095553</c:v>
                </c:pt>
                <c:pt idx="361">
                  <c:v>0.000259911596464358</c:v>
                </c:pt>
                <c:pt idx="362">
                  <c:v>0.000259924593762585</c:v>
                </c:pt>
                <c:pt idx="363">
                  <c:v>0.000259937385300042</c:v>
                </c:pt>
                <c:pt idx="364">
                  <c:v>0.000259949974334133</c:v>
                </c:pt>
                <c:pt idx="365">
                  <c:v>0.000259962364070699</c:v>
                </c:pt>
                <c:pt idx="366">
                  <c:v>0.000259974557664827</c:v>
                </c:pt>
                <c:pt idx="367">
                  <c:v>0.000259986558221656</c:v>
                </c:pt>
                <c:pt idx="368">
                  <c:v>0.000259998368797169</c:v>
                </c:pt>
                <c:pt idx="369">
                  <c:v>0.000260009992398966</c:v>
                </c:pt>
                <c:pt idx="370">
                  <c:v>0.000260021431987037</c:v>
                </c:pt>
                <c:pt idx="371">
                  <c:v>0.00026003269047451</c:v>
                </c:pt>
                <c:pt idx="372">
                  <c:v>0.000260043770728398</c:v>
                </c:pt>
                <c:pt idx="373">
                  <c:v>0.000260054675570322</c:v>
                </c:pt>
                <c:pt idx="374">
                  <c:v>0.000260065407777238</c:v>
                </c:pt>
                <c:pt idx="375">
                  <c:v>0.000260075970082137</c:v>
                </c:pt>
                <c:pt idx="376">
                  <c:v>0.000260086365174746</c:v>
                </c:pt>
                <c:pt idx="377">
                  <c:v>0.000260096595702208</c:v>
                </c:pt>
                <c:pt idx="378">
                  <c:v>0.000260106664269763</c:v>
                </c:pt>
                <c:pt idx="379">
                  <c:v>0.000260116573441403</c:v>
                </c:pt>
                <c:pt idx="380">
                  <c:v>0.000260126325740532</c:v>
                </c:pt>
                <c:pt idx="381">
                  <c:v>0.000260135923650606</c:v>
                </c:pt>
                <c:pt idx="382">
                  <c:v>0.000260145369615764</c:v>
                </c:pt>
                <c:pt idx="383">
                  <c:v>0.000260154666041452</c:v>
                </c:pt>
                <c:pt idx="384">
                  <c:v>0.000260163815295037</c:v>
                </c:pt>
                <c:pt idx="385">
                  <c:v>0.000260172819706405</c:v>
                </c:pt>
                <c:pt idx="386">
                  <c:v>0.00026018168156856</c:v>
                </c:pt>
                <c:pt idx="387">
                  <c:v>0.000260190403138205</c:v>
                </c:pt>
                <c:pt idx="388">
                  <c:v>0.000260198986636316</c:v>
                </c:pt>
                <c:pt idx="389">
                  <c:v>0.000260207434248709</c:v>
                </c:pt>
                <c:pt idx="390">
                  <c:v>0.000260215748126597</c:v>
                </c:pt>
                <c:pt idx="391">
                  <c:v>0.000260223930387136</c:v>
                </c:pt>
                <c:pt idx="392">
                  <c:v>0.000260231983113966</c:v>
                </c:pt>
                <c:pt idx="393">
                  <c:v>0.000260239908357741</c:v>
                </c:pt>
                <c:pt idx="394">
                  <c:v>0.00026024770813665</c:v>
                </c:pt>
                <c:pt idx="395">
                  <c:v>0.000260255384436933</c:v>
                </c:pt>
                <c:pt idx="396">
                  <c:v>0.000260262939213386</c:v>
                </c:pt>
                <c:pt idx="397">
                  <c:v>0.000260270374389856</c:v>
                </c:pt>
                <c:pt idx="398">
                  <c:v>0.000260277691859736</c:v>
                </c:pt>
                <c:pt idx="399">
                  <c:v>0.000260284893486445</c:v>
                </c:pt>
                <c:pt idx="400">
                  <c:v>0.000260291981103899</c:v>
                </c:pt>
                <c:pt idx="401">
                  <c:v>0.000260298956516986</c:v>
                </c:pt>
                <c:pt idx="402">
                  <c:v>0.000260305821502016</c:v>
                </c:pt>
                <c:pt idx="403">
                  <c:v>0.000260312577807181</c:v>
                </c:pt>
                <c:pt idx="404">
                  <c:v>0.000260319227152996</c:v>
                </c:pt>
                <c:pt idx="405">
                  <c:v>0.000260325771232739</c:v>
                </c:pt>
                <c:pt idx="406">
                  <c:v>0.000260332211712883</c:v>
                </c:pt>
                <c:pt idx="407">
                  <c:v>0.000260338550233515</c:v>
                </c:pt>
                <c:pt idx="408">
                  <c:v>0.000260344788408762</c:v>
                </c:pt>
                <c:pt idx="409">
                  <c:v>0.000260350927827197</c:v>
                </c:pt>
                <c:pt idx="410">
                  <c:v>0.00026035697005224</c:v>
                </c:pt>
                <c:pt idx="411">
                  <c:v>0.000260362916622567</c:v>
                </c:pt>
                <c:pt idx="412">
                  <c:v>0.00026036876905249</c:v>
                </c:pt>
                <c:pt idx="413">
                  <c:v>0.00026037452883235</c:v>
                </c:pt>
                <c:pt idx="414">
                  <c:v>0.000260380197428894</c:v>
                </c:pt>
                <c:pt idx="415">
                  <c:v>0.000260385776285649</c:v>
                </c:pt>
                <c:pt idx="416">
                  <c:v>0.000260391266823289</c:v>
                </c:pt>
                <c:pt idx="417">
                  <c:v>0.000260396670439999</c:v>
                </c:pt>
                <c:pt idx="418">
                  <c:v>0.000260401988511826</c:v>
                </c:pt>
                <c:pt idx="419">
                  <c:v>0.000260407222393035</c:v>
                </c:pt>
                <c:pt idx="420">
                  <c:v>0.000260412373416452</c:v>
                </c:pt>
                <c:pt idx="421">
                  <c:v>0.000260417442893802</c:v>
                </c:pt>
                <c:pt idx="422">
                  <c:v>0.000260422432116044</c:v>
                </c:pt>
                <c:pt idx="423">
                  <c:v>0.0002604273423537</c:v>
                </c:pt>
                <c:pt idx="424">
                  <c:v>0.000260432174857178</c:v>
                </c:pt>
                <c:pt idx="425">
                  <c:v>0.000260436930857092</c:v>
                </c:pt>
                <c:pt idx="426">
                  <c:v>0.000260441611564572</c:v>
                </c:pt>
                <c:pt idx="427">
                  <c:v>0.000260446218171576</c:v>
                </c:pt>
                <c:pt idx="428">
                  <c:v>0.000260450751851191</c:v>
                </c:pt>
                <c:pt idx="429">
                  <c:v>0.000260455213757935</c:v>
                </c:pt>
                <c:pt idx="430">
                  <c:v>0.000260459605028047</c:v>
                </c:pt>
                <c:pt idx="431">
                  <c:v>0.000260463926779778</c:v>
                </c:pt>
                <c:pt idx="432">
                  <c:v>0.000260468180113677</c:v>
                </c:pt>
                <c:pt idx="433">
                  <c:v>0.000260472366112868</c:v>
                </c:pt>
                <c:pt idx="434">
                  <c:v>0.000260476485843331</c:v>
                </c:pt>
                <c:pt idx="435">
                  <c:v>0.000260480540354169</c:v>
                </c:pt>
                <c:pt idx="436">
                  <c:v>0.000260484530677877</c:v>
                </c:pt>
                <c:pt idx="437">
                  <c:v>0.000260488457830602</c:v>
                </c:pt>
                <c:pt idx="438">
                  <c:v>0.000260492322812409</c:v>
                </c:pt>
                <c:pt idx="439">
                  <c:v>0.000260496126607527</c:v>
                </c:pt>
                <c:pt idx="440">
                  <c:v>0.000260499870184605</c:v>
                </c:pt>
                <c:pt idx="441">
                  <c:v>0.000260503554496958</c:v>
                </c:pt>
                <c:pt idx="442">
                  <c:v>0.000260507180482808</c:v>
                </c:pt>
                <c:pt idx="443">
                  <c:v>0.000260510749065525</c:v>
                </c:pt>
                <c:pt idx="444">
                  <c:v>0.000260514261153859</c:v>
                </c:pt>
                <c:pt idx="445">
                  <c:v>0.000260517717642175</c:v>
                </c:pt>
                <c:pt idx="446">
                  <c:v>0.000260521119410681</c:v>
                </c:pt>
                <c:pt idx="447">
                  <c:v>0.000260524467325647</c:v>
                </c:pt>
                <c:pt idx="448">
                  <c:v>0.000260527762239631</c:v>
                </c:pt>
                <c:pt idx="449">
                  <c:v>0.000260531004991694</c:v>
                </c:pt>
                <c:pt idx="450">
                  <c:v>0.000260534196407614</c:v>
                </c:pt>
                <c:pt idx="451">
                  <c:v>0.000260537337300094</c:v>
                </c:pt>
                <c:pt idx="452">
                  <c:v>0.000260540428468975</c:v>
                </c:pt>
                <c:pt idx="453">
                  <c:v>0.000260543470701431</c:v>
                </c:pt>
                <c:pt idx="454">
                  <c:v>0.000260546464772178</c:v>
                </c:pt>
                <c:pt idx="455">
                  <c:v>0.000260549411443666</c:v>
                </c:pt>
                <c:pt idx="456">
                  <c:v>0.000260552311466275</c:v>
                </c:pt>
                <c:pt idx="457">
                  <c:v>0.000260555165578504</c:v>
                </c:pt>
                <c:pt idx="458">
                  <c:v>0.000260557974507163</c:v>
                </c:pt>
                <c:pt idx="459">
                  <c:v>0.000260560738967555</c:v>
                </c:pt>
                <c:pt idx="460">
                  <c:v>0.000260563459663658</c:v>
                </c:pt>
                <c:pt idx="461">
                  <c:v>0.000260566137288308</c:v>
                </c:pt>
                <c:pt idx="462">
                  <c:v>0.00026056877252337</c:v>
                </c:pt>
                <c:pt idx="463">
                  <c:v>0.000260571366039916</c:v>
                </c:pt>
                <c:pt idx="464">
                  <c:v>0.000260573918498393</c:v>
                </c:pt>
                <c:pt idx="465">
                  <c:v>0.000260576430548792</c:v>
                </c:pt>
                <c:pt idx="466">
                  <c:v>0.000260578902830817</c:v>
                </c:pt>
                <c:pt idx="467">
                  <c:v>0.000260581335974042</c:v>
                </c:pt>
                <c:pt idx="468">
                  <c:v>0.000260583730598074</c:v>
                </c:pt>
                <c:pt idx="469">
                  <c:v>0.000260586087312713</c:v>
                </c:pt>
                <c:pt idx="470">
                  <c:v>0.000260588406718104</c:v>
                </c:pt>
                <c:pt idx="471">
                  <c:v>0.000260590689404892</c:v>
                </c:pt>
                <c:pt idx="472">
                  <c:v>0.000260592935954369</c:v>
                </c:pt>
                <c:pt idx="473">
                  <c:v>0.000260595146938628</c:v>
                </c:pt>
                <c:pt idx="474">
                  <c:v>0.000260597322920702</c:v>
                </c:pt>
                <c:pt idx="475">
                  <c:v>0.000260599464454713</c:v>
                </c:pt>
                <c:pt idx="476">
                  <c:v>0.000260601572086009</c:v>
                </c:pt>
                <c:pt idx="477">
                  <c:v>0.000260603646351307</c:v>
                </c:pt>
                <c:pt idx="478">
                  <c:v>0.000260605687778823</c:v>
                </c:pt>
                <c:pt idx="479">
                  <c:v>0.000260607696888416</c:v>
                </c:pt>
                <c:pt idx="480">
                  <c:v>0.00026060967419171</c:v>
                </c:pt>
                <c:pt idx="481">
                  <c:v>0.000260611620192233</c:v>
                </c:pt>
                <c:pt idx="482">
                  <c:v>0.00026061353538554</c:v>
                </c:pt>
                <c:pt idx="483">
                  <c:v>0.000260615420259342</c:v>
                </c:pt>
                <c:pt idx="484">
                  <c:v>0.000260617275293628</c:v>
                </c:pt>
                <c:pt idx="485">
                  <c:v>0.000260619100960789</c:v>
                </c:pt>
                <c:pt idx="486">
                  <c:v>0.000260620897725736</c:v>
                </c:pt>
                <c:pt idx="487">
                  <c:v>0.000260622666046022</c:v>
                </c:pt>
                <c:pt idx="488">
                  <c:v>0.000260624406371956</c:v>
                </c:pt>
                <c:pt idx="489">
                  <c:v>0.000260626119146717</c:v>
                </c:pt>
                <c:pt idx="490">
                  <c:v>0.00026062780480647</c:v>
                </c:pt>
                <c:pt idx="491">
                  <c:v>0.000260629463780472</c:v>
                </c:pt>
                <c:pt idx="492">
                  <c:v>0.000260631096491188</c:v>
                </c:pt>
                <c:pt idx="493">
                  <c:v>0.000260632703354391</c:v>
                </c:pt>
                <c:pt idx="494">
                  <c:v>0.000260634284779277</c:v>
                </c:pt>
                <c:pt idx="495">
                  <c:v>0.000260635841168558</c:v>
                </c:pt>
                <c:pt idx="496">
                  <c:v>0.000260637372918576</c:v>
                </c:pt>
                <c:pt idx="497">
                  <c:v>0.000260638880419395</c:v>
                </c:pt>
                <c:pt idx="498">
                  <c:v>0.000260640364054906</c:v>
                </c:pt>
                <c:pt idx="499">
                  <c:v>0.000260641824202921</c:v>
                </c:pt>
                <c:pt idx="500">
                  <c:v>0.000260643261235272</c:v>
                </c:pt>
                <c:pt idx="501">
                  <c:v>0.000260644675517903</c:v>
                </c:pt>
                <c:pt idx="502">
                  <c:v>0.000260646067410967</c:v>
                </c:pt>
                <c:pt idx="503">
                  <c:v>0.000260647437268913</c:v>
                </c:pt>
                <c:pt idx="504">
                  <c:v>0.000260648785440581</c:v>
                </c:pt>
                <c:pt idx="505">
                  <c:v>0.000260650112269287</c:v>
                </c:pt>
                <c:pt idx="506">
                  <c:v>0.000260651418092912</c:v>
                </c:pt>
                <c:pt idx="507">
                  <c:v>0.000260652703243989</c:v>
                </c:pt>
                <c:pt idx="508">
                  <c:v>0.000260653968049786</c:v>
                </c:pt>
                <c:pt idx="509">
                  <c:v>0.000260655212832388</c:v>
                </c:pt>
                <c:pt idx="510">
                  <c:v>0.000260656437908786</c:v>
                </c:pt>
                <c:pt idx="511">
                  <c:v>0.000260657643590947</c:v>
                </c:pt>
                <c:pt idx="512">
                  <c:v>0.000260658830185904</c:v>
                </c:pt>
                <c:pt idx="513">
                  <c:v>0.000260659997995827</c:v>
                </c:pt>
                <c:pt idx="514">
                  <c:v>0.000260661147318102</c:v>
                </c:pt>
                <c:pt idx="515">
                  <c:v>0.000260662278445408</c:v>
                </c:pt>
                <c:pt idx="516">
                  <c:v>0.00026066339166579</c:v>
                </c:pt>
                <c:pt idx="517">
                  <c:v>0.000260664487262733</c:v>
                </c:pt>
                <c:pt idx="518">
                  <c:v>0.000260665565515236</c:v>
                </c:pt>
                <c:pt idx="519">
                  <c:v>0.000260666626697878</c:v>
                </c:pt>
                <c:pt idx="520">
                  <c:v>0.000260667671080893</c:v>
                </c:pt>
                <c:pt idx="521">
                  <c:v>0.000260668698930238</c:v>
                </c:pt>
                <c:pt idx="522">
                  <c:v>0.000260669710507656</c:v>
                </c:pt>
                <c:pt idx="523">
                  <c:v>0.000260670706070749</c:v>
                </c:pt>
                <c:pt idx="524">
                  <c:v>0.000260671685873042</c:v>
                </c:pt>
                <c:pt idx="525">
                  <c:v>0.000260672650164044</c:v>
                </c:pt>
                <c:pt idx="526">
                  <c:v>0.000260673599189314</c:v>
                </c:pt>
                <c:pt idx="527">
                  <c:v>0.000260674533190526</c:v>
                </c:pt>
                <c:pt idx="528">
                  <c:v>0.000260675452405525</c:v>
                </c:pt>
                <c:pt idx="529">
                  <c:v>0.000260676357068394</c:v>
                </c:pt>
                <c:pt idx="530">
                  <c:v>0.000260677247409507</c:v>
                </c:pt>
                <c:pt idx="531">
                  <c:v>0.000260678123655592</c:v>
                </c:pt>
                <c:pt idx="532">
                  <c:v>0.000260678986029789</c:v>
                </c:pt>
                <c:pt idx="533">
                  <c:v>0.000260679834751703</c:v>
                </c:pt>
                <c:pt idx="534">
                  <c:v>0.000260680670037466</c:v>
                </c:pt>
                <c:pt idx="535">
                  <c:v>0.000260681492099785</c:v>
                </c:pt>
                <c:pt idx="536">
                  <c:v>0.000260682301148001</c:v>
                </c:pt>
                <c:pt idx="537">
                  <c:v>0.000260683097388141</c:v>
                </c:pt>
                <c:pt idx="538">
                  <c:v>0.000260683881022969</c:v>
                </c:pt>
                <c:pt idx="539">
                  <c:v>0.000260684652252042</c:v>
                </c:pt>
                <c:pt idx="540">
                  <c:v>0.000260685411271756</c:v>
                </c:pt>
                <c:pt idx="541">
                  <c:v>0.000260686158275396</c:v>
                </c:pt>
                <c:pt idx="542">
                  <c:v>0.000260686893453191</c:v>
                </c:pt>
                <c:pt idx="543">
                  <c:v>0.000260687616992355</c:v>
                </c:pt>
                <c:pt idx="544">
                  <c:v>0.00026068832907714</c:v>
                </c:pt>
                <c:pt idx="545">
                  <c:v>0.000260689029888881</c:v>
                </c:pt>
                <c:pt idx="546">
                  <c:v>0.000260689719606043</c:v>
                </c:pt>
                <c:pt idx="547">
                  <c:v>0.000260690398404263</c:v>
                </c:pt>
                <c:pt idx="548">
                  <c:v>0.0002606910664564</c:v>
                </c:pt>
                <c:pt idx="549">
                  <c:v>0.000260691723932576</c:v>
                </c:pt>
                <c:pt idx="550">
                  <c:v>0.000260692371000219</c:v>
                </c:pt>
                <c:pt idx="551">
                  <c:v>0.000260693007824107</c:v>
                </c:pt>
                <c:pt idx="552">
                  <c:v>0.000260693634566409</c:v>
                </c:pt>
                <c:pt idx="553">
                  <c:v>0.000260694251386728</c:v>
                </c:pt>
                <c:pt idx="554">
                  <c:v>0.000260694858442138</c:v>
                </c:pt>
                <c:pt idx="555">
                  <c:v>0.000260695455887229</c:v>
                </c:pt>
                <c:pt idx="556">
                  <c:v>0.000260696043874142</c:v>
                </c:pt>
                <c:pt idx="557">
                  <c:v>0.000260696622552609</c:v>
                </c:pt>
                <c:pt idx="558">
                  <c:v>0.000260697192069993</c:v>
                </c:pt>
                <c:pt idx="559">
                  <c:v>0.000260697752571324</c:v>
                </c:pt>
                <c:pt idx="560">
                  <c:v>0.000260698304199335</c:v>
                </c:pt>
                <c:pt idx="561">
                  <c:v>0.000260698847094499</c:v>
                </c:pt>
                <c:pt idx="562">
                  <c:v>0.000260699381395068</c:v>
                </c:pt>
                <c:pt idx="563">
                  <c:v>0.000260699907237102</c:v>
                </c:pt>
                <c:pt idx="564">
                  <c:v>0.000260700424754509</c:v>
                </c:pt>
                <c:pt idx="565">
                  <c:v>0.000260700934079075</c:v>
                </c:pt>
                <c:pt idx="566">
                  <c:v>0.000260701435340504</c:v>
                </c:pt>
                <c:pt idx="567">
                  <c:v>0.000260701928666442</c:v>
                </c:pt>
                <c:pt idx="568">
                  <c:v>0.000260702414182516</c:v>
                </c:pt>
                <c:pt idx="569">
                  <c:v>0.000260702892012365</c:v>
                </c:pt>
                <c:pt idx="570">
                  <c:v>0.000260703362277669</c:v>
                </c:pt>
                <c:pt idx="571">
                  <c:v>0.000260703825098184</c:v>
                </c:pt>
                <c:pt idx="572">
                  <c:v>0.000260704280591768</c:v>
                </c:pt>
                <c:pt idx="573">
                  <c:v>0.000260704728874414</c:v>
                </c:pt>
                <c:pt idx="574">
                  <c:v>0.000260705170060279</c:v>
                </c:pt>
                <c:pt idx="575">
                  <c:v>0.000260705604261711</c:v>
                </c:pt>
                <c:pt idx="576">
                  <c:v>0.000260706031589283</c:v>
                </c:pt>
                <c:pt idx="577">
                  <c:v>0.000260706452151814</c:v>
                </c:pt>
                <c:pt idx="578">
                  <c:v>0.000260706866056402</c:v>
                </c:pt>
                <c:pt idx="579">
                  <c:v>0.000260707273408449</c:v>
                </c:pt>
                <c:pt idx="580">
                  <c:v>0.000260707674311689</c:v>
                </c:pt>
                <c:pt idx="581">
                  <c:v>0.000260708068868213</c:v>
                </c:pt>
                <c:pt idx="582">
                  <c:v>0.000260708457178496</c:v>
                </c:pt>
                <c:pt idx="583">
                  <c:v>0.000260708839341423</c:v>
                </c:pt>
                <c:pt idx="584">
                  <c:v>0.000260709215454312</c:v>
                </c:pt>
                <c:pt idx="585">
                  <c:v>0.000260709585612943</c:v>
                </c:pt>
                <c:pt idx="586">
                  <c:v>0.000260709949911577</c:v>
                </c:pt>
                <c:pt idx="587">
                  <c:v>0.000260710308442984</c:v>
                </c:pt>
                <c:pt idx="588">
                  <c:v>0.000260710661298465</c:v>
                </c:pt>
                <c:pt idx="589">
                  <c:v>0.000260711008567876</c:v>
                </c:pt>
                <c:pt idx="590">
                  <c:v>0.000260711350339651</c:v>
                </c:pt>
                <c:pt idx="591">
                  <c:v>0.000260711686700822</c:v>
                </c:pt>
                <c:pt idx="592">
                  <c:v>0.000260712017737046</c:v>
                </c:pt>
                <c:pt idx="593">
                  <c:v>0.000260712343532622</c:v>
                </c:pt>
                <c:pt idx="594">
                  <c:v>0.000260712664170514</c:v>
                </c:pt>
                <c:pt idx="595">
                  <c:v>0.000260712979732374</c:v>
                </c:pt>
                <c:pt idx="596">
                  <c:v>0.000260713290298561</c:v>
                </c:pt>
                <c:pt idx="597">
                  <c:v>0.000260713595948162</c:v>
                </c:pt>
                <c:pt idx="598">
                  <c:v>0.000260713896759011</c:v>
                </c:pt>
                <c:pt idx="599">
                  <c:v>0.000260714192807711</c:v>
                </c:pt>
                <c:pt idx="600">
                  <c:v>0.000260714484169651</c:v>
                </c:pt>
                <c:pt idx="601">
                  <c:v>0.000260714770919029</c:v>
                </c:pt>
                <c:pt idx="602">
                  <c:v>0.000260715053128865</c:v>
                </c:pt>
                <c:pt idx="603">
                  <c:v>0.000260715330871026</c:v>
                </c:pt>
                <c:pt idx="604">
                  <c:v>0.000260715604216239</c:v>
                </c:pt>
                <c:pt idx="605">
                  <c:v>0.000260715873234112</c:v>
                </c:pt>
                <c:pt idx="606">
                  <c:v>0.000260716137993152</c:v>
                </c:pt>
                <c:pt idx="607">
                  <c:v>0.000260716398560781</c:v>
                </c:pt>
                <c:pt idx="608">
                  <c:v>0.000260716655003352</c:v>
                </c:pt>
                <c:pt idx="609">
                  <c:v>0.000260716907386171</c:v>
                </c:pt>
                <c:pt idx="610">
                  <c:v>0.000260717155773506</c:v>
                </c:pt>
                <c:pt idx="611">
                  <c:v>0.000260717400228611</c:v>
                </c:pt>
                <c:pt idx="612">
                  <c:v>0.000260717640813738</c:v>
                </c:pt>
                <c:pt idx="613">
                  <c:v>0.000260717877590151</c:v>
                </c:pt>
                <c:pt idx="614">
                  <c:v>0.000260718110618147</c:v>
                </c:pt>
                <c:pt idx="615">
                  <c:v>0.000260718339957066</c:v>
                </c:pt>
                <c:pt idx="616">
                  <c:v>0.000260718565665312</c:v>
                </c:pt>
                <c:pt idx="617">
                  <c:v>0.000260718787800361</c:v>
                </c:pt>
                <c:pt idx="618">
                  <c:v>0.000260719006418781</c:v>
                </c:pt>
                <c:pt idx="619">
                  <c:v>0.000260719221576243</c:v>
                </c:pt>
                <c:pt idx="620">
                  <c:v>0.000260719433327539</c:v>
                </c:pt>
                <c:pt idx="621">
                  <c:v>0.000260719641726591</c:v>
                </c:pt>
                <c:pt idx="622">
                  <c:v>0.000260719846826469</c:v>
                </c:pt>
                <c:pt idx="623">
                  <c:v>0.000260720048679402</c:v>
                </c:pt>
                <c:pt idx="624">
                  <c:v>0.000260720247336793</c:v>
                </c:pt>
                <c:pt idx="625">
                  <c:v>0.000260720442849231</c:v>
                </c:pt>
                <c:pt idx="626">
                  <c:v>0.000260720635266503</c:v>
                </c:pt>
                <c:pt idx="627">
                  <c:v>0.000260720824637609</c:v>
                </c:pt>
                <c:pt idx="628">
                  <c:v>0.000260721011010773</c:v>
                </c:pt>
                <c:pt idx="629">
                  <c:v>0.000260721194433456</c:v>
                </c:pt>
                <c:pt idx="630">
                  <c:v>0.000260721374952366</c:v>
                </c:pt>
                <c:pt idx="631">
                  <c:v>0.000260721552613475</c:v>
                </c:pt>
                <c:pt idx="632">
                  <c:v>0.000260721727462022</c:v>
                </c:pt>
                <c:pt idx="633">
                  <c:v>0.000260721899542536</c:v>
                </c:pt>
                <c:pt idx="634">
                  <c:v>0.000260722068898835</c:v>
                </c:pt>
                <c:pt idx="635">
                  <c:v>0.000260722235574047</c:v>
                </c:pt>
                <c:pt idx="636">
                  <c:v>0.000260722399610618</c:v>
                </c:pt>
                <c:pt idx="637">
                  <c:v>0.000260722561050318</c:v>
                </c:pt>
                <c:pt idx="638">
                  <c:v>0.00026072271993426</c:v>
                </c:pt>
                <c:pt idx="639">
                  <c:v>0.000260722876302904</c:v>
                </c:pt>
                <c:pt idx="640">
                  <c:v>0.000260723030196069</c:v>
                </c:pt>
                <c:pt idx="641">
                  <c:v>0.000260723181652945</c:v>
                </c:pt>
                <c:pt idx="642">
                  <c:v>0.000260723330712101</c:v>
                </c:pt>
                <c:pt idx="643">
                  <c:v>0.000260723477411495</c:v>
                </c:pt>
                <c:pt idx="644">
                  <c:v>0.000260723621788484</c:v>
                </c:pt>
                <c:pt idx="645">
                  <c:v>0.000260723763879836</c:v>
                </c:pt>
                <c:pt idx="646">
                  <c:v>0.000260723903721734</c:v>
                </c:pt>
                <c:pt idx="647">
                  <c:v>0.000260724041349788</c:v>
                </c:pt>
                <c:pt idx="648">
                  <c:v>0.000260724176799047</c:v>
                </c:pt>
                <c:pt idx="649">
                  <c:v>0.000260724310104003</c:v>
                </c:pt>
                <c:pt idx="650">
                  <c:v>0.000260724441298603</c:v>
                </c:pt>
                <c:pt idx="651">
                  <c:v>0.000260724570416256</c:v>
                </c:pt>
                <c:pt idx="652">
                  <c:v>0.000260724697489842</c:v>
                </c:pt>
                <c:pt idx="653">
                  <c:v>0.00026072482255172</c:v>
                </c:pt>
                <c:pt idx="654">
                  <c:v>0.000260724945633739</c:v>
                </c:pt>
                <c:pt idx="655">
                  <c:v>0.000260725066767241</c:v>
                </c:pt>
                <c:pt idx="656">
                  <c:v>0.000260725185983073</c:v>
                </c:pt>
                <c:pt idx="657">
                  <c:v>0.000260725303311595</c:v>
                </c:pt>
                <c:pt idx="658">
                  <c:v>0.000260725418782684</c:v>
                </c:pt>
                <c:pt idx="659">
                  <c:v>0.000260725532425745</c:v>
                </c:pt>
                <c:pt idx="660">
                  <c:v>0.000260725644269718</c:v>
                </c:pt>
                <c:pt idx="661">
                  <c:v>0.000260725754343085</c:v>
                </c:pt>
                <c:pt idx="662">
                  <c:v>0.000260725862673875</c:v>
                </c:pt>
                <c:pt idx="663">
                  <c:v>0.000260725969289677</c:v>
                </c:pt>
                <c:pt idx="664">
                  <c:v>0.000260726074217639</c:v>
                </c:pt>
                <c:pt idx="665">
                  <c:v>0.000260726177484482</c:v>
                </c:pt>
                <c:pt idx="666">
                  <c:v>0.000260726279116503</c:v>
                </c:pt>
                <c:pt idx="667">
                  <c:v>0.000260726379139584</c:v>
                </c:pt>
                <c:pt idx="668">
                  <c:v>0.000260726477579195</c:v>
                </c:pt>
                <c:pt idx="669">
                  <c:v>0.000260726574460404</c:v>
                </c:pt>
                <c:pt idx="670">
                  <c:v>0.000260726669807883</c:v>
                </c:pt>
                <c:pt idx="671">
                  <c:v>0.000260726763645912</c:v>
                </c:pt>
                <c:pt idx="672">
                  <c:v>0.000260726855998387</c:v>
                </c:pt>
                <c:pt idx="673">
                  <c:v>0.000260726946888827</c:v>
                </c:pt>
                <c:pt idx="674">
                  <c:v>0.000260727036340376</c:v>
                </c:pt>
                <c:pt idx="675">
                  <c:v>0.000260727124375814</c:v>
                </c:pt>
                <c:pt idx="676">
                  <c:v>0.000260727211017559</c:v>
                </c:pt>
                <c:pt idx="677">
                  <c:v>0.000260727296287675</c:v>
                </c:pt>
                <c:pt idx="678">
                  <c:v>0.000260727380207876</c:v>
                </c:pt>
                <c:pt idx="679">
                  <c:v>0.000260727462799533</c:v>
                </c:pt>
                <c:pt idx="680">
                  <c:v>0.000260727544083678</c:v>
                </c:pt>
                <c:pt idx="681">
                  <c:v>0.00026072762408101</c:v>
                </c:pt>
                <c:pt idx="682">
                  <c:v>0.000260727702811901</c:v>
                </c:pt>
                <c:pt idx="683">
                  <c:v>0.000260727780296401</c:v>
                </c:pt>
                <c:pt idx="684">
                  <c:v>0.00026072785655424</c:v>
                </c:pt>
                <c:pt idx="685">
                  <c:v>0.000260727931604837</c:v>
                </c:pt>
                <c:pt idx="686">
                  <c:v>0.000260728005467306</c:v>
                </c:pt>
                <c:pt idx="687">
                  <c:v>0.000260728078160455</c:v>
                </c:pt>
                <c:pt idx="688">
                  <c:v>0.000260728149702795</c:v>
                </c:pt>
                <c:pt idx="689">
                  <c:v>0.000260728220112546</c:v>
                </c:pt>
                <c:pt idx="690">
                  <c:v>0.000260728289407637</c:v>
                </c:pt>
                <c:pt idx="691">
                  <c:v>0.000260728357605715</c:v>
                </c:pt>
                <c:pt idx="692">
                  <c:v>0.000260728424724146</c:v>
                </c:pt>
                <c:pt idx="693">
                  <c:v>0.000260728490780022</c:v>
                </c:pt>
                <c:pt idx="694">
                  <c:v>0.000260728555790165</c:v>
                </c:pt>
                <c:pt idx="695">
                  <c:v>0.000260728619771129</c:v>
                </c:pt>
                <c:pt idx="696">
                  <c:v>0.000260728682739209</c:v>
                </c:pt>
                <c:pt idx="697">
                  <c:v>0.000260728744710438</c:v>
                </c:pt>
                <c:pt idx="698">
                  <c:v>0.000260728805700598</c:v>
                </c:pt>
                <c:pt idx="699">
                  <c:v>0.00026072886572522</c:v>
                </c:pt>
                <c:pt idx="700">
                  <c:v>0.000260728924799589</c:v>
                </c:pt>
                <c:pt idx="701">
                  <c:v>0.00026072898293875</c:v>
                </c:pt>
                <c:pt idx="702">
                  <c:v>0.000260729040157508</c:v>
                </c:pt>
                <c:pt idx="703">
                  <c:v>0.000260729096470433</c:v>
                </c:pt>
                <c:pt idx="704">
                  <c:v>0.000260729151891866</c:v>
                </c:pt>
                <c:pt idx="705">
                  <c:v>0.000260729206435919</c:v>
                </c:pt>
                <c:pt idx="706">
                  <c:v>0.000260729260116484</c:v>
                </c:pt>
                <c:pt idx="707">
                  <c:v>0.000260729312947229</c:v>
                </c:pt>
                <c:pt idx="708">
                  <c:v>0.000260729364941608</c:v>
                </c:pt>
                <c:pt idx="709">
                  <c:v>0.000260729416112863</c:v>
                </c:pt>
                <c:pt idx="710">
                  <c:v>0.000260729466474023</c:v>
                </c:pt>
                <c:pt idx="711">
                  <c:v>0.000260729516037913</c:v>
                </c:pt>
                <c:pt idx="712">
                  <c:v>0.000260729564817155</c:v>
                </c:pt>
                <c:pt idx="713">
                  <c:v>0.000260729612824171</c:v>
                </c:pt>
                <c:pt idx="714">
                  <c:v>0.000260729660071186</c:v>
                </c:pt>
                <c:pt idx="715">
                  <c:v>0.000260729706570232</c:v>
                </c:pt>
                <c:pt idx="716">
                  <c:v>0.000260729752333149</c:v>
                </c:pt>
                <c:pt idx="717">
                  <c:v>0.000260729797371592</c:v>
                </c:pt>
                <c:pt idx="718">
                  <c:v>0.000260729841697029</c:v>
                </c:pt>
                <c:pt idx="719">
                  <c:v>0.000260729885320748</c:v>
                </c:pt>
                <c:pt idx="720">
                  <c:v>0.000260729928253859</c:v>
                </c:pt>
                <c:pt idx="721">
                  <c:v>0.000260729970507293</c:v>
                </c:pt>
                <c:pt idx="722">
                  <c:v>0.000260730012091812</c:v>
                </c:pt>
                <c:pt idx="723">
                  <c:v>0.000260730053018004</c:v>
                </c:pt>
                <c:pt idx="724">
                  <c:v>0.000260730093296292</c:v>
                </c:pt>
                <c:pt idx="725">
                  <c:v>0.000260730132936933</c:v>
                </c:pt>
                <c:pt idx="726">
                  <c:v>0.000260730171950021</c:v>
                </c:pt>
                <c:pt idx="727">
                  <c:v>0.000260730210345491</c:v>
                </c:pt>
                <c:pt idx="728">
                  <c:v>0.000260730248133121</c:v>
                </c:pt>
                <c:pt idx="729">
                  <c:v>0.000260730285322534</c:v>
                </c:pt>
                <c:pt idx="730">
                  <c:v>0.000260730321923199</c:v>
                </c:pt>
                <c:pt idx="731">
                  <c:v>0.000260730357944438</c:v>
                </c:pt>
                <c:pt idx="732">
                  <c:v>0.000260730393395423</c:v>
                </c:pt>
                <c:pt idx="733">
                  <c:v>0.000260730428285182</c:v>
                </c:pt>
                <c:pt idx="734">
                  <c:v>0.000260730462622599</c:v>
                </c:pt>
                <c:pt idx="735">
                  <c:v>0.00026073049641642</c:v>
                </c:pt>
                <c:pt idx="736">
                  <c:v>0.000260730529675249</c:v>
                </c:pt>
                <c:pt idx="737">
                  <c:v>0.000260730562407556</c:v>
                </c:pt>
                <c:pt idx="738">
                  <c:v>0.000260730594621677</c:v>
                </c:pt>
                <c:pt idx="739">
                  <c:v>0.000260730626325815</c:v>
                </c:pt>
                <c:pt idx="740">
                  <c:v>0.000260730657528043</c:v>
                </c:pt>
                <c:pt idx="741">
                  <c:v>0.000260730688236307</c:v>
                </c:pt>
                <c:pt idx="742">
                  <c:v>0.000260730718458428</c:v>
                </c:pt>
                <c:pt idx="743">
                  <c:v>0.000260730748202101</c:v>
                </c:pt>
                <c:pt idx="744">
                  <c:v>0.0002607307774749</c:v>
                </c:pt>
                <c:pt idx="745">
                  <c:v>0.000260730806284281</c:v>
                </c:pt>
                <c:pt idx="746">
                  <c:v>0.000260730834637579</c:v>
                </c:pt>
                <c:pt idx="747">
                  <c:v>0.000260730862542015</c:v>
                </c:pt>
                <c:pt idx="748">
                  <c:v>0.000260730890004694</c:v>
                </c:pt>
                <c:pt idx="749">
                  <c:v>0.000260730917032611</c:v>
                </c:pt>
                <c:pt idx="750">
                  <c:v>0.000260730943632648</c:v>
                </c:pt>
                <c:pt idx="751">
                  <c:v>0.000260730969811578</c:v>
                </c:pt>
                <c:pt idx="752">
                  <c:v>0.000260730995576069</c:v>
                </c:pt>
                <c:pt idx="753">
                  <c:v>0.000260731020932681</c:v>
                </c:pt>
                <c:pt idx="754">
                  <c:v>0.000260731045887871</c:v>
                </c:pt>
                <c:pt idx="755">
                  <c:v>0.000260731070447995</c:v>
                </c:pt>
                <c:pt idx="756">
                  <c:v>0.000260731094619306</c:v>
                </c:pt>
                <c:pt idx="757">
                  <c:v>0.00026073111840796</c:v>
                </c:pt>
                <c:pt idx="758">
                  <c:v>0.000260731141820015</c:v>
                </c:pt>
                <c:pt idx="759">
                  <c:v>0.000260731164861433</c:v>
                </c:pt>
                <c:pt idx="760">
                  <c:v>0.000260731187538081</c:v>
                </c:pt>
                <c:pt idx="761">
                  <c:v>0.000260731209855735</c:v>
                </c:pt>
                <c:pt idx="762">
                  <c:v>0.000260731231820076</c:v>
                </c:pt>
                <c:pt idx="763">
                  <c:v>0.000260731253436699</c:v>
                </c:pt>
                <c:pt idx="764">
                  <c:v>0.000260731274711109</c:v>
                </c:pt>
                <c:pt idx="765">
                  <c:v>0.000260731295648722</c:v>
                </c:pt>
                <c:pt idx="766">
                  <c:v>0.000260731316254871</c:v>
                </c:pt>
                <c:pt idx="767">
                  <c:v>0.000260731336534804</c:v>
                </c:pt>
                <c:pt idx="768">
                  <c:v>0.000260731356493684</c:v>
                </c:pt>
                <c:pt idx="769">
                  <c:v>0.000260731376136594</c:v>
                </c:pt>
                <c:pt idx="770">
                  <c:v>0.000260731395468536</c:v>
                </c:pt>
                <c:pt idx="771">
                  <c:v>0.000260731414494434</c:v>
                </c:pt>
                <c:pt idx="772">
                  <c:v>0.000260731433219131</c:v>
                </c:pt>
                <c:pt idx="773">
                  <c:v>0.000260731451647398</c:v>
                </c:pt>
                <c:pt idx="774">
                  <c:v>0.000260731469783925</c:v>
                </c:pt>
                <c:pt idx="775">
                  <c:v>0.000260731487633333</c:v>
                </c:pt>
                <c:pt idx="776">
                  <c:v>0.000260731505200165</c:v>
                </c:pt>
                <c:pt idx="777">
                  <c:v>0.000260731522488897</c:v>
                </c:pt>
                <c:pt idx="778">
                  <c:v>0.00026073153950393</c:v>
                </c:pt>
                <c:pt idx="779">
                  <c:v>0.000260731556249597</c:v>
                </c:pt>
                <c:pt idx="780">
                  <c:v>0.000260731572730163</c:v>
                </c:pt>
                <c:pt idx="781">
                  <c:v>0.000260731588949824</c:v>
                </c:pt>
                <c:pt idx="782">
                  <c:v>0.000260731604912711</c:v>
                </c:pt>
                <c:pt idx="783">
                  <c:v>0.000260731620622889</c:v>
                </c:pt>
                <c:pt idx="784">
                  <c:v>0.000260731636084359</c:v>
                </c:pt>
                <c:pt idx="785">
                  <c:v>0.000260731651301057</c:v>
                </c:pt>
                <c:pt idx="786">
                  <c:v>0.000260731666276859</c:v>
                </c:pt>
                <c:pt idx="787">
                  <c:v>0.000260731681015579</c:v>
                </c:pt>
                <c:pt idx="788">
                  <c:v>0.000260731695520969</c:v>
                </c:pt>
                <c:pt idx="789">
                  <c:v>0.000260731709796724</c:v>
                </c:pt>
                <c:pt idx="790">
                  <c:v>0.000260731723846479</c:v>
                </c:pt>
                <c:pt idx="791">
                  <c:v>0.000260731737673812</c:v>
                </c:pt>
                <c:pt idx="792">
                  <c:v>0.000260731751282243</c:v>
                </c:pt>
                <c:pt idx="793">
                  <c:v>0.000260731764675239</c:v>
                </c:pt>
                <c:pt idx="794">
                  <c:v>0.00026073177785621</c:v>
                </c:pt>
                <c:pt idx="795">
                  <c:v>0.000260731790828512</c:v>
                </c:pt>
                <c:pt idx="796">
                  <c:v>0.000260731803595449</c:v>
                </c:pt>
                <c:pt idx="797">
                  <c:v>0.000260731816160273</c:v>
                </c:pt>
                <c:pt idx="798">
                  <c:v>0.000260731828526182</c:v>
                </c:pt>
                <c:pt idx="799">
                  <c:v>0.000260731840696326</c:v>
                </c:pt>
                <c:pt idx="800">
                  <c:v>0.000260731852673803</c:v>
                </c:pt>
                <c:pt idx="801">
                  <c:v>0.000260731864461665</c:v>
                </c:pt>
                <c:pt idx="802">
                  <c:v>0.000260731876062913</c:v>
                </c:pt>
                <c:pt idx="803">
                  <c:v>0.000260731887480501</c:v>
                </c:pt>
                <c:pt idx="804">
                  <c:v>0.000260731898717336</c:v>
                </c:pt>
                <c:pt idx="805">
                  <c:v>0.000260731909776281</c:v>
                </c:pt>
                <c:pt idx="806">
                  <c:v>0.000260731920660151</c:v>
                </c:pt>
                <c:pt idx="807">
                  <c:v>0.000260731931371718</c:v>
                </c:pt>
                <c:pt idx="808">
                  <c:v>0.00026073194191371</c:v>
                </c:pt>
                <c:pt idx="809">
                  <c:v>0.000260731952288811</c:v>
                </c:pt>
                <c:pt idx="810">
                  <c:v>0.000260731962499663</c:v>
                </c:pt>
                <c:pt idx="811">
                  <c:v>0.000260731972548868</c:v>
                </c:pt>
                <c:pt idx="812">
                  <c:v>0.000260731982438982</c:v>
                </c:pt>
                <c:pt idx="813">
                  <c:v>0.000260731992172526</c:v>
                </c:pt>
                <c:pt idx="814">
                  <c:v>0.000260732001751978</c:v>
                </c:pt>
                <c:pt idx="815">
                  <c:v>0.000260732011179777</c:v>
                </c:pt>
                <c:pt idx="816">
                  <c:v>0.000260732020458324</c:v>
                </c:pt>
                <c:pt idx="817">
                  <c:v>0.000260732029589982</c:v>
                </c:pt>
                <c:pt idx="818">
                  <c:v>0.000260732038577076</c:v>
                </c:pt>
                <c:pt idx="819">
                  <c:v>0.000260732047421896</c:v>
                </c:pt>
                <c:pt idx="820">
                  <c:v>0.000260732056126692</c:v>
                </c:pt>
                <c:pt idx="821">
                  <c:v>0.000260732064693683</c:v>
                </c:pt>
                <c:pt idx="822">
                  <c:v>0.000260732073125049</c:v>
                </c:pt>
                <c:pt idx="823">
                  <c:v>0.000260732081422938</c:v>
                </c:pt>
                <c:pt idx="824">
                  <c:v>0.000260732089589463</c:v>
                </c:pt>
                <c:pt idx="825">
                  <c:v>0.000260732097626703</c:v>
                </c:pt>
                <c:pt idx="826">
                  <c:v>0.000260732105536705</c:v>
                </c:pt>
                <c:pt idx="827">
                  <c:v>0.000260732113321484</c:v>
                </c:pt>
                <c:pt idx="828">
                  <c:v>0.000260732120983021</c:v>
                </c:pt>
                <c:pt idx="829">
                  <c:v>0.000260732128523269</c:v>
                </c:pt>
                <c:pt idx="830">
                  <c:v>0.000260732135944146</c:v>
                </c:pt>
                <c:pt idx="831">
                  <c:v>0.000260732143247543</c:v>
                </c:pt>
                <c:pt idx="832">
                  <c:v>0.00026073215043532</c:v>
                </c:pt>
                <c:pt idx="833">
                  <c:v>0.000260732157509307</c:v>
                </c:pt>
                <c:pt idx="834">
                  <c:v>0.000260732164471305</c:v>
                </c:pt>
                <c:pt idx="835">
                  <c:v>0.000260732171323087</c:v>
                </c:pt>
                <c:pt idx="836">
                  <c:v>0.000260732178066399</c:v>
                </c:pt>
                <c:pt idx="837">
                  <c:v>0.000260732184702957</c:v>
                </c:pt>
                <c:pt idx="838">
                  <c:v>0.000260732191234451</c:v>
                </c:pt>
                <c:pt idx="839">
                  <c:v>0.000260732197662545</c:v>
                </c:pt>
                <c:pt idx="840">
                  <c:v>0.000260732203988876</c:v>
                </c:pt>
                <c:pt idx="841">
                  <c:v>0.000260732210215054</c:v>
                </c:pt>
                <c:pt idx="842">
                  <c:v>0.000260732216342666</c:v>
                </c:pt>
                <c:pt idx="843">
                  <c:v>0.00026073222237327</c:v>
                </c:pt>
                <c:pt idx="844">
                  <c:v>0.000260732228308404</c:v>
                </c:pt>
                <c:pt idx="845">
                  <c:v>0.000260732234149579</c:v>
                </c:pt>
                <c:pt idx="846">
                  <c:v>0.000260732239898282</c:v>
                </c:pt>
                <c:pt idx="847">
                  <c:v>0.000260732245555977</c:v>
                </c:pt>
                <c:pt idx="848">
                  <c:v>0.000260732251124105</c:v>
                </c:pt>
                <c:pt idx="849">
                  <c:v>0.000260732256604083</c:v>
                </c:pt>
                <c:pt idx="850">
                  <c:v>0.000260732261997308</c:v>
                </c:pt>
                <c:pt idx="851">
                  <c:v>0.000260732267305152</c:v>
                </c:pt>
                <c:pt idx="852">
                  <c:v>0.000260732272528968</c:v>
                </c:pt>
                <c:pt idx="853">
                  <c:v>0.000260732277670085</c:v>
                </c:pt>
                <c:pt idx="854">
                  <c:v>0.000260732282729813</c:v>
                </c:pt>
                <c:pt idx="855">
                  <c:v>0.00026073228770944</c:v>
                </c:pt>
                <c:pt idx="856">
                  <c:v>0.000260732292610234</c:v>
                </c:pt>
                <c:pt idx="857">
                  <c:v>0.000260732297433444</c:v>
                </c:pt>
                <c:pt idx="858">
                  <c:v>0.000260732302180297</c:v>
                </c:pt>
                <c:pt idx="859">
                  <c:v>0.000260732306852003</c:v>
                </c:pt>
                <c:pt idx="860">
                  <c:v>0.000260732311449751</c:v>
                </c:pt>
                <c:pt idx="861">
                  <c:v>0.000260732315974711</c:v>
                </c:pt>
                <c:pt idx="862">
                  <c:v>0.000260732320428037</c:v>
                </c:pt>
                <c:pt idx="863">
                  <c:v>0.000260732324810862</c:v>
                </c:pt>
                <c:pt idx="864">
                  <c:v>0.000260732329124302</c:v>
                </c:pt>
                <c:pt idx="865">
                  <c:v>0.000260732333369456</c:v>
                </c:pt>
                <c:pt idx="866">
                  <c:v>0.000260732337547405</c:v>
                </c:pt>
                <c:pt idx="867">
                  <c:v>0.000260732341659213</c:v>
                </c:pt>
                <c:pt idx="868">
                  <c:v>0.000260732345705926</c:v>
                </c:pt>
                <c:pt idx="869">
                  <c:v>0.000260732349688576</c:v>
                </c:pt>
                <c:pt idx="870">
                  <c:v>0.000260732353608176</c:v>
                </c:pt>
                <c:pt idx="871">
                  <c:v>0.000260732357465725</c:v>
                </c:pt>
                <c:pt idx="872">
                  <c:v>0.000260732361262205</c:v>
                </c:pt>
                <c:pt idx="873">
                  <c:v>0.000260732364998582</c:v>
                </c:pt>
                <c:pt idx="874">
                  <c:v>0.000260732368675809</c:v>
                </c:pt>
                <c:pt idx="875">
                  <c:v>0.000260732372294821</c:v>
                </c:pt>
                <c:pt idx="876">
                  <c:v>0.000260732375856541</c:v>
                </c:pt>
                <c:pt idx="877">
                  <c:v>0.000260732379361875</c:v>
                </c:pt>
                <c:pt idx="878">
                  <c:v>0.000260732382811716</c:v>
                </c:pt>
                <c:pt idx="879">
                  <c:v>0.000260732386206942</c:v>
                </c:pt>
                <c:pt idx="880">
                  <c:v>0.000260732389548419</c:v>
                </c:pt>
                <c:pt idx="881">
                  <c:v>0.000260732392836996</c:v>
                </c:pt>
                <c:pt idx="882">
                  <c:v>0.000260732396073512</c:v>
                </c:pt>
                <c:pt idx="883">
                  <c:v>0.00026073239925879</c:v>
                </c:pt>
                <c:pt idx="884">
                  <c:v>0.000260732402393642</c:v>
                </c:pt>
                <c:pt idx="885">
                  <c:v>0.000260732405478866</c:v>
                </c:pt>
                <c:pt idx="886">
                  <c:v>0.000260732408515248</c:v>
                </c:pt>
                <c:pt idx="887">
                  <c:v>0.000260732411503561</c:v>
                </c:pt>
                <c:pt idx="888">
                  <c:v>0.000260732414444565</c:v>
                </c:pt>
                <c:pt idx="889">
                  <c:v>0.000260732417339011</c:v>
                </c:pt>
                <c:pt idx="890">
                  <c:v>0.000260732420187634</c:v>
                </c:pt>
                <c:pt idx="891">
                  <c:v>0.00026073242299116</c:v>
                </c:pt>
                <c:pt idx="892">
                  <c:v>0.000260732425750304</c:v>
                </c:pt>
                <c:pt idx="893">
                  <c:v>0.000260732428465768</c:v>
                </c:pt>
                <c:pt idx="894">
                  <c:v>0.000260732431138243</c:v>
                </c:pt>
                <c:pt idx="895">
                  <c:v>0.00026073243376841</c:v>
                </c:pt>
                <c:pt idx="896">
                  <c:v>0.000260732436356939</c:v>
                </c:pt>
                <c:pt idx="897">
                  <c:v>0.000260732438904489</c:v>
                </c:pt>
                <c:pt idx="898">
                  <c:v>0.000260732441411708</c:v>
                </c:pt>
                <c:pt idx="899">
                  <c:v>0.000260732443879235</c:v>
                </c:pt>
                <c:pt idx="900">
                  <c:v>0.000260732446307699</c:v>
                </c:pt>
                <c:pt idx="901">
                  <c:v>0.000260732448697718</c:v>
                </c:pt>
                <c:pt idx="902">
                  <c:v>0.0002607324510499</c:v>
                </c:pt>
                <c:pt idx="903">
                  <c:v>0.000260732453364845</c:v>
                </c:pt>
                <c:pt idx="904">
                  <c:v>0.000260732455643142</c:v>
                </c:pt>
                <c:pt idx="905">
                  <c:v>0.000260732457885371</c:v>
                </c:pt>
                <c:pt idx="906">
                  <c:v>0.000260732460092103</c:v>
                </c:pt>
                <c:pt idx="907">
                  <c:v>0.0002607324622639</c:v>
                </c:pt>
                <c:pt idx="908">
                  <c:v>0.000260732464401316</c:v>
                </c:pt>
                <c:pt idx="909">
                  <c:v>0.000260732466504894</c:v>
                </c:pt>
                <c:pt idx="910">
                  <c:v>0.00026073246857517</c:v>
                </c:pt>
                <c:pt idx="911">
                  <c:v>0.000260732470612672</c:v>
                </c:pt>
                <c:pt idx="912">
                  <c:v>0.000260732472617917</c:v>
                </c:pt>
                <c:pt idx="913">
                  <c:v>0.000260732474591418</c:v>
                </c:pt>
                <c:pt idx="914">
                  <c:v>0.000260732476533676</c:v>
                </c:pt>
                <c:pt idx="915">
                  <c:v>0.000260732478445186</c:v>
                </c:pt>
                <c:pt idx="916">
                  <c:v>0.000260732480326435</c:v>
                </c:pt>
                <c:pt idx="917">
                  <c:v>0.000260732482177902</c:v>
                </c:pt>
                <c:pt idx="918">
                  <c:v>0.000260732484000058</c:v>
                </c:pt>
                <c:pt idx="919">
                  <c:v>0.000260732485793367</c:v>
                </c:pt>
                <c:pt idx="920">
                  <c:v>0.000260732487558287</c:v>
                </c:pt>
                <c:pt idx="921">
                  <c:v>0.000260732489295266</c:v>
                </c:pt>
                <c:pt idx="922">
                  <c:v>0.000260732491004747</c:v>
                </c:pt>
                <c:pt idx="923">
                  <c:v>0.000260732492687164</c:v>
                </c:pt>
                <c:pt idx="924">
                  <c:v>0.000260732494342948</c:v>
                </c:pt>
                <c:pt idx="925">
                  <c:v>0.000260732495972519</c:v>
                </c:pt>
                <c:pt idx="926">
                  <c:v>0.000260732497576292</c:v>
                </c:pt>
                <c:pt idx="927">
                  <c:v>0.000260732499154675</c:v>
                </c:pt>
                <c:pt idx="928">
                  <c:v>0.000260732500708071</c:v>
                </c:pt>
                <c:pt idx="929">
                  <c:v>0.000260732502236876</c:v>
                </c:pt>
                <c:pt idx="930">
                  <c:v>0.000260732503741477</c:v>
                </c:pt>
                <c:pt idx="931">
                  <c:v>0.000260732505222259</c:v>
                </c:pt>
                <c:pt idx="932">
                  <c:v>0.000260732506679599</c:v>
                </c:pt>
                <c:pt idx="933">
                  <c:v>0.000260732508113868</c:v>
                </c:pt>
                <c:pt idx="934">
                  <c:v>0.000260732509525431</c:v>
                </c:pt>
                <c:pt idx="935">
                  <c:v>0.000260732510914647</c:v>
                </c:pt>
                <c:pt idx="936">
                  <c:v>0.000260732512281871</c:v>
                </c:pt>
                <c:pt idx="937">
                  <c:v>0.000260732513627449</c:v>
                </c:pt>
                <c:pt idx="938">
                  <c:v>0.000260732514951726</c:v>
                </c:pt>
                <c:pt idx="939">
                  <c:v>0.000260732516255039</c:v>
                </c:pt>
                <c:pt idx="940">
                  <c:v>0.000260732517537718</c:v>
                </c:pt>
                <c:pt idx="941">
                  <c:v>0.000260732518800092</c:v>
                </c:pt>
                <c:pt idx="942">
                  <c:v>0.00026073252004248</c:v>
                </c:pt>
                <c:pt idx="943">
                  <c:v>0.000260732521265201</c:v>
                </c:pt>
                <c:pt idx="944">
                  <c:v>0.000260732522468564</c:v>
                </c:pt>
                <c:pt idx="945">
                  <c:v>0.000260732523652877</c:v>
                </c:pt>
                <c:pt idx="946">
                  <c:v>0.000260732524818441</c:v>
                </c:pt>
                <c:pt idx="947">
                  <c:v>0.000260732525965553</c:v>
                </c:pt>
                <c:pt idx="948">
                  <c:v>0.000260732527094505</c:v>
                </c:pt>
                <c:pt idx="949">
                  <c:v>0.000260732528205584</c:v>
                </c:pt>
                <c:pt idx="950">
                  <c:v>0.000260732529299074</c:v>
                </c:pt>
                <c:pt idx="951">
                  <c:v>0.000260732530375253</c:v>
                </c:pt>
                <c:pt idx="952">
                  <c:v>0.000260732531434395</c:v>
                </c:pt>
                <c:pt idx="953">
                  <c:v>0.000260732532476769</c:v>
                </c:pt>
                <c:pt idx="954">
                  <c:v>0.000260732533502642</c:v>
                </c:pt>
                <c:pt idx="955">
                  <c:v>0.000260732534512274</c:v>
                </c:pt>
                <c:pt idx="956">
                  <c:v>0.000260732535505923</c:v>
                </c:pt>
                <c:pt idx="957">
                  <c:v>0.000260732536483841</c:v>
                </c:pt>
                <c:pt idx="958">
                  <c:v>0.000260732537446277</c:v>
                </c:pt>
                <c:pt idx="959">
                  <c:v>0.000260732538393477</c:v>
                </c:pt>
                <c:pt idx="960">
                  <c:v>0.000260732539325682</c:v>
                </c:pt>
                <c:pt idx="961">
                  <c:v>0.000260732540243129</c:v>
                </c:pt>
                <c:pt idx="962">
                  <c:v>0.000260732541146052</c:v>
                </c:pt>
                <c:pt idx="963">
                  <c:v>0.000260732542034681</c:v>
                </c:pt>
                <c:pt idx="964">
                  <c:v>0.000260732542909242</c:v>
                </c:pt>
                <c:pt idx="965">
                  <c:v>0.000260732543769958</c:v>
                </c:pt>
                <c:pt idx="966">
                  <c:v>0.000260732544617048</c:v>
                </c:pt>
                <c:pt idx="967">
                  <c:v>0.000260732545450727</c:v>
                </c:pt>
                <c:pt idx="968">
                  <c:v>0.000260732546271208</c:v>
                </c:pt>
                <c:pt idx="969">
                  <c:v>0.000260732547078701</c:v>
                </c:pt>
                <c:pt idx="970">
                  <c:v>0.000260732547873409</c:v>
                </c:pt>
                <c:pt idx="971">
                  <c:v>0.000260732548655537</c:v>
                </c:pt>
                <c:pt idx="972">
                  <c:v>0.000260732549425283</c:v>
                </c:pt>
                <c:pt idx="973">
                  <c:v>0.000260732550182843</c:v>
                </c:pt>
                <c:pt idx="974">
                  <c:v>0.00026073255092841</c:v>
                </c:pt>
                <c:pt idx="975">
                  <c:v>0.000260732551662174</c:v>
                </c:pt>
                <c:pt idx="976">
                  <c:v>0.000260732552384322</c:v>
                </c:pt>
                <c:pt idx="977">
                  <c:v>0.000260732553095037</c:v>
                </c:pt>
                <c:pt idx="978">
                  <c:v>0.000260732553794501</c:v>
                </c:pt>
                <c:pt idx="979">
                  <c:v>0.000260732554482892</c:v>
                </c:pt>
                <c:pt idx="980">
                  <c:v>0.000260732555160384</c:v>
                </c:pt>
                <c:pt idx="981">
                  <c:v>0.000260732555827152</c:v>
                </c:pt>
                <c:pt idx="982">
                  <c:v>0.000260732556483364</c:v>
                </c:pt>
                <c:pt idx="983">
                  <c:v>0.000260732557129187</c:v>
                </c:pt>
                <c:pt idx="984">
                  <c:v>0.000260732557764786</c:v>
                </c:pt>
                <c:pt idx="985">
                  <c:v>0.000260732558390323</c:v>
                </c:pt>
                <c:pt idx="986">
                  <c:v>0.000260732559005957</c:v>
                </c:pt>
                <c:pt idx="987">
                  <c:v>0.000260732559611845</c:v>
                </c:pt>
                <c:pt idx="988">
                  <c:v>0.000260732560208141</c:v>
                </c:pt>
                <c:pt idx="989">
                  <c:v>0.000260732560794997</c:v>
                </c:pt>
                <c:pt idx="990">
                  <c:v>0.000260732561372563</c:v>
                </c:pt>
                <c:pt idx="991">
                  <c:v>0.000260732561940985</c:v>
                </c:pt>
                <c:pt idx="992">
                  <c:v>0.000260732562500408</c:v>
                </c:pt>
                <c:pt idx="993">
                  <c:v>0.000260732563050975</c:v>
                </c:pt>
                <c:pt idx="994">
                  <c:v>0.000260732563592826</c:v>
                </c:pt>
                <c:pt idx="995">
                  <c:v>0.000260732564126099</c:v>
                </c:pt>
                <c:pt idx="996">
                  <c:v>0.00026073256465093</c:v>
                </c:pt>
                <c:pt idx="997">
                  <c:v>0.000260732565167452</c:v>
                </c:pt>
                <c:pt idx="998">
                  <c:v>0.000260732565675797</c:v>
                </c:pt>
                <c:pt idx="999">
                  <c:v>0.000260732566176095</c:v>
                </c:pt>
                <c:pt idx="1000">
                  <c:v>0.000260732566668472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Sheet1!$H$10:$H$10</c:f>
              <c:strCache>
                <c:ptCount val="1"/>
                <c:pt idx="0">
                  <c:v>1.00E+07</c:v>
                </c:pt>
              </c:strCache>
            </c:strRef>
          </c:tx>
          <c:spPr>
            <a:solidFill>
              <a:srgbClr val="70ad47"/>
            </a:solidFill>
            <a:ln w="19080">
              <a:solidFill>
                <a:srgbClr val="70ad47"/>
              </a:solidFill>
              <a:round/>
            </a:ln>
          </c:spPr>
          <c:marker>
            <c:symbol val="square"/>
            <c:size val="5"/>
            <c:spPr>
              <a:solidFill>
                <a:srgbClr val="70ad47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Sheet1!$C$12:$C$1012</c:f>
              <c:numCache>
                <c:formatCode>General</c:formatCode>
                <c:ptCount val="10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</c:v>
                </c:pt>
                <c:pt idx="323">
                  <c:v>32.3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</c:v>
                </c:pt>
                <c:pt idx="328">
                  <c:v>32.8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</c:v>
                </c:pt>
                <c:pt idx="333">
                  <c:v>33.3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</c:v>
                </c:pt>
                <c:pt idx="338">
                  <c:v>33.8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</c:v>
                </c:pt>
                <c:pt idx="343">
                  <c:v>34.3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</c:v>
                </c:pt>
                <c:pt idx="348">
                  <c:v>34.8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</c:v>
                </c:pt>
                <c:pt idx="353">
                  <c:v>35.3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</c:v>
                </c:pt>
                <c:pt idx="358">
                  <c:v>35.8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</c:v>
                </c:pt>
                <c:pt idx="363">
                  <c:v>36.3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</c:v>
                </c:pt>
                <c:pt idx="368">
                  <c:v>36.8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</c:v>
                </c:pt>
                <c:pt idx="373">
                  <c:v>37.3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</c:v>
                </c:pt>
                <c:pt idx="378">
                  <c:v>37.8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</c:v>
                </c:pt>
                <c:pt idx="383">
                  <c:v>38.3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</c:v>
                </c:pt>
                <c:pt idx="388">
                  <c:v>38.8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</c:v>
                </c:pt>
                <c:pt idx="393">
                  <c:v>39.3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</c:v>
                </c:pt>
                <c:pt idx="398">
                  <c:v>39.8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</c:v>
                </c:pt>
                <c:pt idx="403">
                  <c:v>40.3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</c:v>
                </c:pt>
                <c:pt idx="408">
                  <c:v>40.8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64.1</c:v>
                </c:pt>
                <c:pt idx="642">
                  <c:v>64.2</c:v>
                </c:pt>
                <c:pt idx="643">
                  <c:v>64.3</c:v>
                </c:pt>
                <c:pt idx="644">
                  <c:v>64.4</c:v>
                </c:pt>
                <c:pt idx="645">
                  <c:v>64.5</c:v>
                </c:pt>
                <c:pt idx="646">
                  <c:v>64.6</c:v>
                </c:pt>
                <c:pt idx="647">
                  <c:v>64.7</c:v>
                </c:pt>
                <c:pt idx="648">
                  <c:v>64.8</c:v>
                </c:pt>
                <c:pt idx="649">
                  <c:v>64.9</c:v>
                </c:pt>
                <c:pt idx="650">
                  <c:v>65</c:v>
                </c:pt>
                <c:pt idx="651">
                  <c:v>65.1</c:v>
                </c:pt>
                <c:pt idx="652">
                  <c:v>65.2</c:v>
                </c:pt>
                <c:pt idx="653">
                  <c:v>65.3</c:v>
                </c:pt>
                <c:pt idx="654">
                  <c:v>65.4</c:v>
                </c:pt>
                <c:pt idx="655">
                  <c:v>65.5</c:v>
                </c:pt>
                <c:pt idx="656">
                  <c:v>65.6</c:v>
                </c:pt>
                <c:pt idx="657">
                  <c:v>65.7</c:v>
                </c:pt>
                <c:pt idx="658">
                  <c:v>65.8</c:v>
                </c:pt>
                <c:pt idx="659">
                  <c:v>65.9</c:v>
                </c:pt>
                <c:pt idx="660">
                  <c:v>66</c:v>
                </c:pt>
                <c:pt idx="661">
                  <c:v>66.1</c:v>
                </c:pt>
                <c:pt idx="662">
                  <c:v>66.2</c:v>
                </c:pt>
                <c:pt idx="663">
                  <c:v>66.3</c:v>
                </c:pt>
                <c:pt idx="664">
                  <c:v>66.4</c:v>
                </c:pt>
                <c:pt idx="665">
                  <c:v>66.5</c:v>
                </c:pt>
                <c:pt idx="666">
                  <c:v>66.6</c:v>
                </c:pt>
                <c:pt idx="667">
                  <c:v>66.7</c:v>
                </c:pt>
                <c:pt idx="668">
                  <c:v>66.8</c:v>
                </c:pt>
                <c:pt idx="669">
                  <c:v>66.9</c:v>
                </c:pt>
                <c:pt idx="670">
                  <c:v>67</c:v>
                </c:pt>
                <c:pt idx="671">
                  <c:v>67.1</c:v>
                </c:pt>
                <c:pt idx="672">
                  <c:v>67.2</c:v>
                </c:pt>
                <c:pt idx="673">
                  <c:v>67.3</c:v>
                </c:pt>
                <c:pt idx="674">
                  <c:v>67.4</c:v>
                </c:pt>
                <c:pt idx="675">
                  <c:v>67.5</c:v>
                </c:pt>
                <c:pt idx="676">
                  <c:v>67.6</c:v>
                </c:pt>
                <c:pt idx="677">
                  <c:v>67.7</c:v>
                </c:pt>
                <c:pt idx="678">
                  <c:v>67.8</c:v>
                </c:pt>
                <c:pt idx="679">
                  <c:v>67.9</c:v>
                </c:pt>
                <c:pt idx="680">
                  <c:v>68</c:v>
                </c:pt>
                <c:pt idx="681">
                  <c:v>68.1</c:v>
                </c:pt>
                <c:pt idx="682">
                  <c:v>68.2</c:v>
                </c:pt>
                <c:pt idx="683">
                  <c:v>68.3</c:v>
                </c:pt>
                <c:pt idx="684">
                  <c:v>68.4</c:v>
                </c:pt>
                <c:pt idx="685">
                  <c:v>68.5</c:v>
                </c:pt>
                <c:pt idx="686">
                  <c:v>68.6</c:v>
                </c:pt>
                <c:pt idx="687">
                  <c:v>68.7</c:v>
                </c:pt>
                <c:pt idx="688">
                  <c:v>68.8</c:v>
                </c:pt>
                <c:pt idx="689">
                  <c:v>68.9</c:v>
                </c:pt>
                <c:pt idx="690">
                  <c:v>69</c:v>
                </c:pt>
                <c:pt idx="691">
                  <c:v>69.1</c:v>
                </c:pt>
                <c:pt idx="692">
                  <c:v>69.2</c:v>
                </c:pt>
                <c:pt idx="693">
                  <c:v>69.3</c:v>
                </c:pt>
                <c:pt idx="694">
                  <c:v>69.4</c:v>
                </c:pt>
                <c:pt idx="695">
                  <c:v>69.5</c:v>
                </c:pt>
                <c:pt idx="696">
                  <c:v>69.6</c:v>
                </c:pt>
                <c:pt idx="697">
                  <c:v>69.7</c:v>
                </c:pt>
                <c:pt idx="698">
                  <c:v>69.8</c:v>
                </c:pt>
                <c:pt idx="699">
                  <c:v>69.9</c:v>
                </c:pt>
                <c:pt idx="700">
                  <c:v>70</c:v>
                </c:pt>
                <c:pt idx="701">
                  <c:v>70.1</c:v>
                </c:pt>
                <c:pt idx="702">
                  <c:v>70.2</c:v>
                </c:pt>
                <c:pt idx="703">
                  <c:v>70.3</c:v>
                </c:pt>
                <c:pt idx="704">
                  <c:v>70.4</c:v>
                </c:pt>
                <c:pt idx="705">
                  <c:v>70.5</c:v>
                </c:pt>
                <c:pt idx="706">
                  <c:v>70.6</c:v>
                </c:pt>
                <c:pt idx="707">
                  <c:v>70.7</c:v>
                </c:pt>
                <c:pt idx="708">
                  <c:v>70.8</c:v>
                </c:pt>
                <c:pt idx="709">
                  <c:v>70.9</c:v>
                </c:pt>
                <c:pt idx="710">
                  <c:v>71</c:v>
                </c:pt>
                <c:pt idx="711">
                  <c:v>71.1</c:v>
                </c:pt>
                <c:pt idx="712">
                  <c:v>71.2</c:v>
                </c:pt>
                <c:pt idx="713">
                  <c:v>71.3</c:v>
                </c:pt>
                <c:pt idx="714">
                  <c:v>71.4</c:v>
                </c:pt>
                <c:pt idx="715">
                  <c:v>71.5</c:v>
                </c:pt>
                <c:pt idx="716">
                  <c:v>71.6</c:v>
                </c:pt>
                <c:pt idx="717">
                  <c:v>71.7</c:v>
                </c:pt>
                <c:pt idx="718">
                  <c:v>71.8</c:v>
                </c:pt>
                <c:pt idx="719">
                  <c:v>71.9</c:v>
                </c:pt>
                <c:pt idx="720">
                  <c:v>72</c:v>
                </c:pt>
                <c:pt idx="721">
                  <c:v>72.1</c:v>
                </c:pt>
                <c:pt idx="722">
                  <c:v>72.2</c:v>
                </c:pt>
                <c:pt idx="723">
                  <c:v>72.3</c:v>
                </c:pt>
                <c:pt idx="724">
                  <c:v>72.4</c:v>
                </c:pt>
                <c:pt idx="725">
                  <c:v>72.5</c:v>
                </c:pt>
                <c:pt idx="726">
                  <c:v>72.6</c:v>
                </c:pt>
                <c:pt idx="727">
                  <c:v>72.7</c:v>
                </c:pt>
                <c:pt idx="728">
                  <c:v>72.8</c:v>
                </c:pt>
                <c:pt idx="729">
                  <c:v>72.9</c:v>
                </c:pt>
                <c:pt idx="730">
                  <c:v>73</c:v>
                </c:pt>
                <c:pt idx="731">
                  <c:v>73.1</c:v>
                </c:pt>
                <c:pt idx="732">
                  <c:v>73.2</c:v>
                </c:pt>
                <c:pt idx="733">
                  <c:v>73.3</c:v>
                </c:pt>
                <c:pt idx="734">
                  <c:v>73.4</c:v>
                </c:pt>
                <c:pt idx="735">
                  <c:v>73.5</c:v>
                </c:pt>
                <c:pt idx="736">
                  <c:v>73.6</c:v>
                </c:pt>
                <c:pt idx="737">
                  <c:v>73.7</c:v>
                </c:pt>
                <c:pt idx="738">
                  <c:v>73.8</c:v>
                </c:pt>
                <c:pt idx="739">
                  <c:v>73.9</c:v>
                </c:pt>
                <c:pt idx="740">
                  <c:v>74</c:v>
                </c:pt>
                <c:pt idx="741">
                  <c:v>74.1</c:v>
                </c:pt>
                <c:pt idx="742">
                  <c:v>74.2</c:v>
                </c:pt>
                <c:pt idx="743">
                  <c:v>74.3</c:v>
                </c:pt>
                <c:pt idx="744">
                  <c:v>74.4</c:v>
                </c:pt>
                <c:pt idx="745">
                  <c:v>74.5</c:v>
                </c:pt>
                <c:pt idx="746">
                  <c:v>74.6</c:v>
                </c:pt>
                <c:pt idx="747">
                  <c:v>74.7</c:v>
                </c:pt>
                <c:pt idx="748">
                  <c:v>74.8</c:v>
                </c:pt>
                <c:pt idx="749">
                  <c:v>74.9</c:v>
                </c:pt>
                <c:pt idx="750">
                  <c:v>75</c:v>
                </c:pt>
                <c:pt idx="751">
                  <c:v>75.1</c:v>
                </c:pt>
                <c:pt idx="752">
                  <c:v>75.2</c:v>
                </c:pt>
                <c:pt idx="753">
                  <c:v>75.3</c:v>
                </c:pt>
                <c:pt idx="754">
                  <c:v>75.4</c:v>
                </c:pt>
                <c:pt idx="755">
                  <c:v>75.5</c:v>
                </c:pt>
                <c:pt idx="756">
                  <c:v>75.6</c:v>
                </c:pt>
                <c:pt idx="757">
                  <c:v>75.7</c:v>
                </c:pt>
                <c:pt idx="758">
                  <c:v>75.8</c:v>
                </c:pt>
                <c:pt idx="759">
                  <c:v>75.9</c:v>
                </c:pt>
                <c:pt idx="760">
                  <c:v>76</c:v>
                </c:pt>
                <c:pt idx="761">
                  <c:v>76.1</c:v>
                </c:pt>
                <c:pt idx="762">
                  <c:v>76.2</c:v>
                </c:pt>
                <c:pt idx="763">
                  <c:v>76.3</c:v>
                </c:pt>
                <c:pt idx="764">
                  <c:v>76.4</c:v>
                </c:pt>
                <c:pt idx="765">
                  <c:v>76.5</c:v>
                </c:pt>
                <c:pt idx="766">
                  <c:v>76.6</c:v>
                </c:pt>
                <c:pt idx="767">
                  <c:v>76.7</c:v>
                </c:pt>
                <c:pt idx="768">
                  <c:v>76.8</c:v>
                </c:pt>
                <c:pt idx="769">
                  <c:v>76.9</c:v>
                </c:pt>
                <c:pt idx="770">
                  <c:v>77</c:v>
                </c:pt>
                <c:pt idx="771">
                  <c:v>77.1</c:v>
                </c:pt>
                <c:pt idx="772">
                  <c:v>77.2</c:v>
                </c:pt>
                <c:pt idx="773">
                  <c:v>77.3</c:v>
                </c:pt>
                <c:pt idx="774">
                  <c:v>77.4</c:v>
                </c:pt>
                <c:pt idx="775">
                  <c:v>77.5</c:v>
                </c:pt>
                <c:pt idx="776">
                  <c:v>77.6</c:v>
                </c:pt>
                <c:pt idx="777">
                  <c:v>77.7</c:v>
                </c:pt>
                <c:pt idx="778">
                  <c:v>77.8</c:v>
                </c:pt>
                <c:pt idx="779">
                  <c:v>77.9</c:v>
                </c:pt>
                <c:pt idx="780">
                  <c:v>78</c:v>
                </c:pt>
                <c:pt idx="781">
                  <c:v>78.1</c:v>
                </c:pt>
                <c:pt idx="782">
                  <c:v>78.2</c:v>
                </c:pt>
                <c:pt idx="783">
                  <c:v>78.3</c:v>
                </c:pt>
                <c:pt idx="784">
                  <c:v>78.4</c:v>
                </c:pt>
                <c:pt idx="785">
                  <c:v>78.5</c:v>
                </c:pt>
                <c:pt idx="786">
                  <c:v>78.6</c:v>
                </c:pt>
                <c:pt idx="787">
                  <c:v>78.7</c:v>
                </c:pt>
                <c:pt idx="788">
                  <c:v>78.8</c:v>
                </c:pt>
                <c:pt idx="789">
                  <c:v>78.9</c:v>
                </c:pt>
                <c:pt idx="790">
                  <c:v>79</c:v>
                </c:pt>
                <c:pt idx="791">
                  <c:v>79.1</c:v>
                </c:pt>
                <c:pt idx="792">
                  <c:v>79.2</c:v>
                </c:pt>
                <c:pt idx="793">
                  <c:v>79.3</c:v>
                </c:pt>
                <c:pt idx="794">
                  <c:v>79.4</c:v>
                </c:pt>
                <c:pt idx="795">
                  <c:v>79.5</c:v>
                </c:pt>
                <c:pt idx="796">
                  <c:v>79.6</c:v>
                </c:pt>
                <c:pt idx="797">
                  <c:v>79.7</c:v>
                </c:pt>
                <c:pt idx="798">
                  <c:v>79.8</c:v>
                </c:pt>
                <c:pt idx="799">
                  <c:v>79.9</c:v>
                </c:pt>
                <c:pt idx="800">
                  <c:v>80</c:v>
                </c:pt>
                <c:pt idx="801">
                  <c:v>80.1</c:v>
                </c:pt>
                <c:pt idx="802">
                  <c:v>80.2</c:v>
                </c:pt>
                <c:pt idx="803">
                  <c:v>80.3</c:v>
                </c:pt>
                <c:pt idx="804">
                  <c:v>80.4</c:v>
                </c:pt>
                <c:pt idx="805">
                  <c:v>80.5</c:v>
                </c:pt>
                <c:pt idx="806">
                  <c:v>80.6</c:v>
                </c:pt>
                <c:pt idx="807">
                  <c:v>80.7</c:v>
                </c:pt>
                <c:pt idx="808">
                  <c:v>80.8</c:v>
                </c:pt>
                <c:pt idx="809">
                  <c:v>80.9</c:v>
                </c:pt>
                <c:pt idx="810">
                  <c:v>81</c:v>
                </c:pt>
                <c:pt idx="811">
                  <c:v>81.1</c:v>
                </c:pt>
                <c:pt idx="812">
                  <c:v>81.2</c:v>
                </c:pt>
                <c:pt idx="813">
                  <c:v>81.3</c:v>
                </c:pt>
                <c:pt idx="814">
                  <c:v>81.4</c:v>
                </c:pt>
                <c:pt idx="815">
                  <c:v>81.5</c:v>
                </c:pt>
                <c:pt idx="816">
                  <c:v>81.6</c:v>
                </c:pt>
                <c:pt idx="817">
                  <c:v>81.7</c:v>
                </c:pt>
                <c:pt idx="818">
                  <c:v>81.8</c:v>
                </c:pt>
                <c:pt idx="819">
                  <c:v>81.9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</c:numCache>
            </c:numRef>
          </c:xVal>
          <c:yVal>
            <c:numRef>
              <c:f>Sheet1!$H$12:$H$1012</c:f>
              <c:numCache>
                <c:formatCode>General</c:formatCode>
                <c:ptCount val="1001"/>
                <c:pt idx="0">
                  <c:v>0</c:v>
                </c:pt>
                <c:pt idx="1">
                  <c:v>1.82791111242823E-006</c:v>
                </c:pt>
                <c:pt idx="2">
                  <c:v>3.5917477848014E-006</c:v>
                </c:pt>
                <c:pt idx="3">
                  <c:v>5.29375604201673E-006</c:v>
                </c:pt>
                <c:pt idx="4">
                  <c:v>6.93610317823516E-006</c:v>
                </c:pt>
                <c:pt idx="5">
                  <c:v>8.52088051665888E-006</c:v>
                </c:pt>
                <c:pt idx="6">
                  <c:v>1.00501060725692E-005</c:v>
                </c:pt>
                <c:pt idx="7">
                  <c:v>1.15257271230161E-005</c:v>
                </c:pt>
                <c:pt idx="8">
                  <c:v>1.29496226864314E-005</c:v>
                </c:pt>
                <c:pt idx="9">
                  <c:v>1.43236059153232E-005</c:v>
                </c:pt>
                <c:pt idx="10">
                  <c:v>1.56494264050984E-005</c:v>
                </c:pt>
                <c:pt idx="11">
                  <c:v>1.69287724219529E-005</c:v>
                </c:pt>
                <c:pt idx="12">
                  <c:v>1.81632730526674E-005</c:v>
                </c:pt>
                <c:pt idx="13">
                  <c:v>1.93545002790446E-005</c:v>
                </c:pt>
                <c:pt idx="14">
                  <c:v>2.05039709796315E-005</c:v>
                </c:pt>
                <c:pt idx="15">
                  <c:v>2.16131488612739E-005</c:v>
                </c:pt>
                <c:pt idx="16">
                  <c:v>2.26834463229635E-005</c:v>
                </c:pt>
                <c:pt idx="17">
                  <c:v>2.37162262543509E-005</c:v>
                </c:pt>
                <c:pt idx="18">
                  <c:v>2.47128037712151E-005</c:v>
                </c:pt>
                <c:pt idx="19">
                  <c:v>2.56744478900982E-005</c:v>
                </c:pt>
                <c:pt idx="20">
                  <c:v>2.66023831442391E-005</c:v>
                </c:pt>
                <c:pt idx="21">
                  <c:v>2.74977911428629E-005</c:v>
                </c:pt>
                <c:pt idx="22">
                  <c:v>2.83618120758124E-005</c:v>
                </c:pt>
                <c:pt idx="23">
                  <c:v>2.91955461654367E-005</c:v>
                </c:pt>
                <c:pt idx="24">
                  <c:v>3.00000550675864E-005</c:v>
                </c:pt>
                <c:pt idx="25">
                  <c:v>3.07763632234996E-005</c:v>
                </c:pt>
                <c:pt idx="26">
                  <c:v>3.1525459164299E-005</c:v>
                </c:pt>
                <c:pt idx="27">
                  <c:v>3.22482967697625E-005</c:v>
                </c:pt>
                <c:pt idx="28">
                  <c:v>3.29457964829698E-005</c:v>
                </c:pt>
                <c:pt idx="29">
                  <c:v>3.36188464823707E-005</c:v>
                </c:pt>
                <c:pt idx="30">
                  <c:v>3.42683038127695E-005</c:v>
                </c:pt>
                <c:pt idx="31">
                  <c:v>3.48949954766641E-005</c:v>
                </c:pt>
                <c:pt idx="32">
                  <c:v>3.54997194873298E-005</c:v>
                </c:pt>
                <c:pt idx="33">
                  <c:v>3.60832458849891E-005</c:v>
                </c:pt>
                <c:pt idx="34">
                  <c:v>3.66463177173617E-005</c:v>
                </c:pt>
                <c:pt idx="35">
                  <c:v>3.71896519858426E-005</c:v>
                </c:pt>
                <c:pt idx="36">
                  <c:v>3.77139405585131E-005</c:v>
                </c:pt>
                <c:pt idx="37">
                  <c:v>3.82198510511486E-005</c:v>
                </c:pt>
                <c:pt idx="38">
                  <c:v>3.87080276773432E-005</c:v>
                </c:pt>
                <c:pt idx="39">
                  <c:v>3.91790920688353E-005</c:v>
                </c:pt>
                <c:pt idx="40">
                  <c:v>3.96336440670771E-005</c:v>
                </c:pt>
                <c:pt idx="41">
                  <c:v>4.00722624870584E-005</c:v>
                </c:pt>
                <c:pt idx="42">
                  <c:v>4.04955058543542E-005</c:v>
                </c:pt>
                <c:pt idx="43">
                  <c:v>4.0903913116337E-005</c:v>
                </c:pt>
                <c:pt idx="44">
                  <c:v>4.12980043284595E-005</c:v>
                </c:pt>
                <c:pt idx="45">
                  <c:v>4.1678281316479E-005</c:v>
                </c:pt>
                <c:pt idx="46">
                  <c:v>4.20452283154703E-005</c:v>
                </c:pt>
                <c:pt idx="47">
                  <c:v>4.23993125864381E-005</c:v>
                </c:pt>
                <c:pt idx="48">
                  <c:v>4.27409850113155E-005</c:v>
                </c:pt>
                <c:pt idx="49">
                  <c:v>4.30706806671052E-005</c:v>
                </c:pt>
                <c:pt idx="50">
                  <c:v>4.3388819379896E-005</c:v>
                </c:pt>
                <c:pt idx="51">
                  <c:v>4.36958062594586E-005</c:v>
                </c:pt>
                <c:pt idx="52">
                  <c:v>4.39920322151018E-005</c:v>
                </c:pt>
                <c:pt idx="53">
                  <c:v>4.42778744534469E-005</c:v>
                </c:pt>
                <c:pt idx="54">
                  <c:v>4.45536969587527E-005</c:v>
                </c:pt>
                <c:pt idx="55">
                  <c:v>4.48198509564041E-005</c:v>
                </c:pt>
                <c:pt idx="56">
                  <c:v>4.50766753601535E-005</c:v>
                </c:pt>
                <c:pt idx="57">
                  <c:v>4.53244972036849E-005</c:v>
                </c:pt>
                <c:pt idx="58">
                  <c:v>4.55636320570505E-005</c:v>
                </c:pt>
                <c:pt idx="59">
                  <c:v>4.57943844285093E-005</c:v>
                </c:pt>
                <c:pt idx="60">
                  <c:v>4.60170481522806E-005</c:v>
                </c:pt>
                <c:pt idx="61">
                  <c:v>4.62319067627047E-005</c:v>
                </c:pt>
                <c:pt idx="62">
                  <c:v>4.64392338552883E-005</c:v>
                </c:pt>
                <c:pt idx="63">
                  <c:v>4.66392934350946E-005</c:v>
                </c:pt>
                <c:pt idx="64">
                  <c:v>4.68323402529199E-005</c:v>
                </c:pt>
                <c:pt idx="65">
                  <c:v>4.70186201296875E-005</c:v>
                </c:pt>
                <c:pt idx="66">
                  <c:v>4.71983702694693E-005</c:v>
                </c:pt>
                <c:pt idx="67">
                  <c:v>4.7371819561536E-005</c:v>
                </c:pt>
                <c:pt idx="68">
                  <c:v>4.75391888718183E-005</c:v>
                </c:pt>
                <c:pt idx="69">
                  <c:v>4.77006913241522E-005</c:v>
                </c:pt>
                <c:pt idx="70">
                  <c:v>4.78565325716658E-005</c:v>
                </c:pt>
                <c:pt idx="71">
                  <c:v>4.80069110586524E-005</c:v>
                </c:pt>
                <c:pt idx="72">
                  <c:v>4.81520182732645E-005</c:v>
                </c:pt>
                <c:pt idx="73">
                  <c:v>4.829203899135E-005</c:v>
                </c:pt>
                <c:pt idx="74">
                  <c:v>4.84271515117412E-005</c:v>
                </c:pt>
                <c:pt idx="75">
                  <c:v>4.85575278832958E-005</c:v>
                </c:pt>
                <c:pt idx="76">
                  <c:v>4.86833341239798E-005</c:v>
                </c:pt>
                <c:pt idx="77">
                  <c:v>4.88047304322701E-005</c:v>
                </c:pt>
                <c:pt idx="78">
                  <c:v>4.8921871391148E-005</c:v>
                </c:pt>
                <c:pt idx="79">
                  <c:v>4.90349061649402E-005</c:v>
                </c:pt>
                <c:pt idx="80">
                  <c:v>4.91439786892619E-005</c:v>
                </c:pt>
                <c:pt idx="81">
                  <c:v>4.92492278543E-005</c:v>
                </c:pt>
                <c:pt idx="82">
                  <c:v>4.93507876816727E-005</c:v>
                </c:pt>
                <c:pt idx="83">
                  <c:v>4.94487874950891E-005</c:v>
                </c:pt>
                <c:pt idx="84">
                  <c:v>4.9543352085027E-005</c:v>
                </c:pt>
                <c:pt idx="85">
                  <c:v>4.96346018676375E-005</c:v>
                </c:pt>
                <c:pt idx="86">
                  <c:v>4.97226530380801E-005</c:v>
                </c:pt>
                <c:pt idx="87">
                  <c:v>4.98076177184829E-005</c:v>
                </c:pt>
                <c:pt idx="88">
                  <c:v>4.98896041007156E-005</c:v>
                </c:pt>
                <c:pt idx="89">
                  <c:v>4.99687165841585E-005</c:v>
                </c:pt>
                <c:pt idx="90">
                  <c:v>5.00450559086423E-005</c:v>
                </c:pt>
                <c:pt idx="91">
                  <c:v>5.01187192827272E-005</c:v>
                </c:pt>
                <c:pt idx="92">
                  <c:v>5.0189800507486E-005</c:v>
                </c:pt>
                <c:pt idx="93">
                  <c:v>5.02583900959482E-005</c:v>
                </c:pt>
                <c:pt idx="94">
                  <c:v>5.03245753883565E-005</c:v>
                </c:pt>
                <c:pt idx="95">
                  <c:v>5.03884406633843E-005</c:v>
                </c:pt>
                <c:pt idx="96">
                  <c:v>5.04500672454535E-005</c:v>
                </c:pt>
                <c:pt idx="97">
                  <c:v>5.05095336082911E-005</c:v>
                </c:pt>
                <c:pt idx="98">
                  <c:v>5.05669154748559E-005</c:v>
                </c:pt>
                <c:pt idx="99">
                  <c:v>5.06222859137619E-005</c:v>
                </c:pt>
                <c:pt idx="100">
                  <c:v>5.0675715432322E-005</c:v>
                </c:pt>
                <c:pt idx="101">
                  <c:v>5.07272720663305E-005</c:v>
                </c:pt>
                <c:pt idx="102">
                  <c:v>5.0777021466698E-005</c:v>
                </c:pt>
                <c:pt idx="103">
                  <c:v>5.08250269830494E-005</c:v>
                </c:pt>
                <c:pt idx="104">
                  <c:v>5.08713497443923E-005</c:v>
                </c:pt>
                <c:pt idx="105">
                  <c:v>5.09160487369563E-005</c:v>
                </c:pt>
                <c:pt idx="106">
                  <c:v>5.09591808793053E-005</c:v>
                </c:pt>
                <c:pt idx="107">
                  <c:v>5.10008010948157E-005</c:v>
                </c:pt>
                <c:pt idx="108">
                  <c:v>5.10409623816148E-005</c:v>
                </c:pt>
                <c:pt idx="109">
                  <c:v>5.10797158800667E-005</c:v>
                </c:pt>
                <c:pt idx="110">
                  <c:v>5.1117110937894E-005</c:v>
                </c:pt>
                <c:pt idx="111">
                  <c:v>5.1153195173015E-005</c:v>
                </c:pt>
                <c:pt idx="112">
                  <c:v>5.11880145341799E-005</c:v>
                </c:pt>
                <c:pt idx="113">
                  <c:v>5.12216133594805E-005</c:v>
                </c:pt>
                <c:pt idx="114">
                  <c:v>5.12540344328088E-005</c:v>
                </c:pt>
                <c:pt idx="115">
                  <c:v>5.12853190383377E-005</c:v>
                </c:pt>
                <c:pt idx="116">
                  <c:v>5.13155070130906E-005</c:v>
                </c:pt>
                <c:pt idx="117">
                  <c:v>5.13446367976692E-005</c:v>
                </c:pt>
                <c:pt idx="118">
                  <c:v>5.13727454852026E-005</c:v>
                </c:pt>
                <c:pt idx="119">
                  <c:v>5.13998688685808E-005</c:v>
                </c:pt>
                <c:pt idx="120">
                  <c:v>5.14260414860325E-005</c:v>
                </c:pt>
                <c:pt idx="121">
                  <c:v>5.14512966651052E-005</c:v>
                </c:pt>
                <c:pt idx="122">
                  <c:v>5.14756665651036E-005</c:v>
                </c:pt>
                <c:pt idx="123">
                  <c:v>5.14991822180404E-005</c:v>
                </c:pt>
                <c:pt idx="124">
                  <c:v>5.15218735681519E-005</c:v>
                </c:pt>
                <c:pt idx="125">
                  <c:v>5.15437695100279E-005</c:v>
                </c:pt>
                <c:pt idx="126">
                  <c:v>5.15648979254057E-005</c:v>
                </c:pt>
                <c:pt idx="127">
                  <c:v>5.15852857186737E-005</c:v>
                </c:pt>
                <c:pt idx="128">
                  <c:v>5.16049588511309E-005</c:v>
                </c:pt>
                <c:pt idx="129">
                  <c:v>5.16239423740455E-005</c:v>
                </c:pt>
                <c:pt idx="130">
                  <c:v>5.16422604605541E-005</c:v>
                </c:pt>
                <c:pt idx="131">
                  <c:v>5.16599364364437E-005</c:v>
                </c:pt>
                <c:pt idx="132">
                  <c:v>5.16769928098538E-005</c:v>
                </c:pt>
                <c:pt idx="133">
                  <c:v>5.16934512999379E-005</c:v>
                </c:pt>
                <c:pt idx="134">
                  <c:v>5.17093328645198E-005</c:v>
                </c:pt>
                <c:pt idx="135">
                  <c:v>5.17246577267814E-005</c:v>
                </c:pt>
                <c:pt idx="136">
                  <c:v>5.17394454010136E-005</c:v>
                </c:pt>
                <c:pt idx="137">
                  <c:v>5.17537147174659E-005</c:v>
                </c:pt>
                <c:pt idx="138">
                  <c:v>5.1767483846324E-005</c:v>
                </c:pt>
                <c:pt idx="139">
                  <c:v>5.17807703208476E-005</c:v>
                </c:pt>
                <c:pt idx="140">
                  <c:v>5.17935910596963E-005</c:v>
                </c:pt>
                <c:pt idx="141">
                  <c:v>5.18059623884741E-005</c:v>
                </c:pt>
                <c:pt idx="142">
                  <c:v>5.18179000605173E-005</c:v>
                </c:pt>
                <c:pt idx="143">
                  <c:v>5.18294192769547E-005</c:v>
                </c:pt>
                <c:pt idx="144">
                  <c:v>5.18405347060646E-005</c:v>
                </c:pt>
                <c:pt idx="145">
                  <c:v>5.18512605019525E-005</c:v>
                </c:pt>
                <c:pt idx="146">
                  <c:v>5.1861610322575E-005</c:v>
                </c:pt>
                <c:pt idx="147">
                  <c:v>5.18715973471313E-005</c:v>
                </c:pt>
                <c:pt idx="148">
                  <c:v>5.18812342928451E-005</c:v>
                </c:pt>
                <c:pt idx="149">
                  <c:v>5.18905334311589E-005</c:v>
                </c:pt>
                <c:pt idx="150">
                  <c:v>5.18995066033595E-005</c:v>
                </c:pt>
                <c:pt idx="151">
                  <c:v>5.1908165235657E-005</c:v>
                </c:pt>
                <c:pt idx="152">
                  <c:v>5.19165203537342E-005</c:v>
                </c:pt>
                <c:pt idx="153">
                  <c:v>5.19245825967866E-005</c:v>
                </c:pt>
                <c:pt idx="154">
                  <c:v>5.193236223107E-005</c:v>
                </c:pt>
                <c:pt idx="155">
                  <c:v>5.19398691629736E-005</c:v>
                </c:pt>
                <c:pt idx="156">
                  <c:v>5.19471129516341E-005</c:v>
                </c:pt>
                <c:pt idx="157">
                  <c:v>5.19541028211083E-005</c:v>
                </c:pt>
                <c:pt idx="158">
                  <c:v>5.19608476721187E-005</c:v>
                </c:pt>
                <c:pt idx="159">
                  <c:v>5.19673560933877E-005</c:v>
                </c:pt>
                <c:pt idx="160">
                  <c:v>5.19736363725738E-005</c:v>
                </c:pt>
                <c:pt idx="161">
                  <c:v>5.19796965068254E-005</c:v>
                </c:pt>
                <c:pt idx="162">
                  <c:v>5.19855442129636E-005</c:v>
                </c:pt>
                <c:pt idx="163">
                  <c:v>5.19911869373094E-005</c:v>
                </c:pt>
                <c:pt idx="164">
                  <c:v>5.19966318651647E-005</c:v>
                </c:pt>
                <c:pt idx="165">
                  <c:v>5.20018859299627E-005</c:v>
                </c:pt>
                <c:pt idx="166">
                  <c:v>5.20069558220963E-005</c:v>
                </c:pt>
                <c:pt idx="167">
                  <c:v>5.20118479974374E-005</c:v>
                </c:pt>
                <c:pt idx="168">
                  <c:v>5.20165686855583E-005</c:v>
                </c:pt>
                <c:pt idx="169">
                  <c:v>5.20211238976635E-005</c:v>
                </c:pt>
                <c:pt idx="170">
                  <c:v>5.20255194342445E-005</c:v>
                </c:pt>
                <c:pt idx="171">
                  <c:v>5.20297608924662E-005</c:v>
                </c:pt>
                <c:pt idx="172">
                  <c:v>5.20338536732939E-005</c:v>
                </c:pt>
                <c:pt idx="173">
                  <c:v>5.2037802988371E-005</c:v>
                </c:pt>
                <c:pt idx="174">
                  <c:v>5.20416138666552E-005</c:v>
                </c:pt>
                <c:pt idx="175">
                  <c:v>5.20452911608223E-005</c:v>
                </c:pt>
                <c:pt idx="176">
                  <c:v>5.20488395534453E-005</c:v>
                </c:pt>
                <c:pt idx="177">
                  <c:v>5.20522635629576E-005</c:v>
                </c:pt>
                <c:pt idx="178">
                  <c:v>5.20555675494059E-005</c:v>
                </c:pt>
                <c:pt idx="179">
                  <c:v>5.2058755720003E-005</c:v>
                </c:pt>
                <c:pt idx="180">
                  <c:v>5.20618321344843E-005</c:v>
                </c:pt>
                <c:pt idx="181">
                  <c:v>5.20648007102781E-005</c:v>
                </c:pt>
                <c:pt idx="182">
                  <c:v>5.20676652274935E-005</c:v>
                </c:pt>
                <c:pt idx="183">
                  <c:v>5.20704293337342E-005</c:v>
                </c:pt>
                <c:pt idx="184">
                  <c:v>5.20730965487428E-005</c:v>
                </c:pt>
                <c:pt idx="185">
                  <c:v>5.20756702688835E-005</c:v>
                </c:pt>
                <c:pt idx="186">
                  <c:v>5.20781537714661E-005</c:v>
                </c:pt>
                <c:pt idx="187">
                  <c:v>5.20805502189199E-005</c:v>
                </c:pt>
                <c:pt idx="188">
                  <c:v>5.20828626628204E-005</c:v>
                </c:pt>
                <c:pt idx="189">
                  <c:v>5.20850940477748E-005</c:v>
                </c:pt>
                <c:pt idx="190">
                  <c:v>5.20872472151724E-005</c:v>
                </c:pt>
                <c:pt idx="191">
                  <c:v>5.20893249068017E-005</c:v>
                </c:pt>
                <c:pt idx="192">
                  <c:v>5.20913297683428E-005</c:v>
                </c:pt>
                <c:pt idx="193">
                  <c:v>5.20932643527354E-005</c:v>
                </c:pt>
                <c:pt idx="194">
                  <c:v>5.20951311234302E-005</c:v>
                </c:pt>
                <c:pt idx="195">
                  <c:v>5.20969324575258E-005</c:v>
                </c:pt>
                <c:pt idx="196">
                  <c:v>5.20986706487952E-005</c:v>
                </c:pt>
                <c:pt idx="197">
                  <c:v>5.21003479106072E-005</c:v>
                </c:pt>
                <c:pt idx="198">
                  <c:v>5.21019663787445E-005</c:v>
                </c:pt>
                <c:pt idx="199">
                  <c:v>5.21035281141233E-005</c:v>
                </c:pt>
                <c:pt idx="200">
                  <c:v>5.21050351054178E-005</c:v>
                </c:pt>
                <c:pt idx="201">
                  <c:v>5.21064892715927E-005</c:v>
                </c:pt>
                <c:pt idx="202">
                  <c:v>5.21078924643461E-005</c:v>
                </c:pt>
                <c:pt idx="203">
                  <c:v>5.21092464704682E-005</c:v>
                </c:pt>
                <c:pt idx="204">
                  <c:v>5.21105530141161E-005</c:v>
                </c:pt>
                <c:pt idx="205">
                  <c:v>5.21118137590093E-005</c:v>
                </c:pt>
                <c:pt idx="206">
                  <c:v>5.21130303105483E-005</c:v>
                </c:pt>
                <c:pt idx="207">
                  <c:v>5.21142042178592E-005</c:v>
                </c:pt>
                <c:pt idx="208">
                  <c:v>5.21153369757656E-005</c:v>
                </c:pt>
                <c:pt idx="209">
                  <c:v>5.21164300266927E-005</c:v>
                </c:pt>
                <c:pt idx="210">
                  <c:v>5.2117484762504E-005</c:v>
                </c:pt>
                <c:pt idx="211">
                  <c:v>5.21185025262733E-005</c:v>
                </c:pt>
                <c:pt idx="212">
                  <c:v>5.2119484613995E-005</c:v>
                </c:pt>
                <c:pt idx="213">
                  <c:v>5.21204322762349E-005</c:v>
                </c:pt>
                <c:pt idx="214">
                  <c:v>5.2121346719722E-005</c:v>
                </c:pt>
                <c:pt idx="215">
                  <c:v>5.21222291088855E-005</c:v>
                </c:pt>
                <c:pt idx="216">
                  <c:v>5.21230805673373E-005</c:v>
                </c:pt>
                <c:pt idx="217">
                  <c:v>5.2123902179303E-005</c:v>
                </c:pt>
                <c:pt idx="218">
                  <c:v>5.21246949910025E-005</c:v>
                </c:pt>
                <c:pt idx="219">
                  <c:v>5.21254600119821E-005</c:v>
                </c:pt>
                <c:pt idx="220">
                  <c:v>5.21261982164002E-005</c:v>
                </c:pt>
                <c:pt idx="221">
                  <c:v>5.21269105442675E-005</c:v>
                </c:pt>
                <c:pt idx="222">
                  <c:v>5.21275979026442E-005</c:v>
                </c:pt>
                <c:pt idx="223">
                  <c:v>5.21282611667951E-005</c:v>
                </c:pt>
                <c:pt idx="224">
                  <c:v>5.2128901181304E-005</c:v>
                </c:pt>
                <c:pt idx="225">
                  <c:v>5.2129518761149E-005</c:v>
                </c:pt>
                <c:pt idx="226">
                  <c:v>5.21301146927408E-005</c:v>
                </c:pt>
                <c:pt idx="227">
                  <c:v>5.21306897349234E-005</c:v>
                </c:pt>
                <c:pt idx="228">
                  <c:v>5.21312446199411E-005</c:v>
                </c:pt>
                <c:pt idx="229">
                  <c:v>5.21317800543702E-005</c:v>
                </c:pt>
                <c:pt idx="230">
                  <c:v>5.21322967200196E-005</c:v>
                </c:pt>
                <c:pt idx="231">
                  <c:v>5.21327952747981E-005</c:v>
                </c:pt>
                <c:pt idx="232">
                  <c:v>5.21332763535526E-005</c:v>
                </c:pt>
                <c:pt idx="233">
                  <c:v>5.21337405688768E-005</c:v>
                </c:pt>
                <c:pt idx="234">
                  <c:v>5.21341885118906E-005</c:v>
                </c:pt>
                <c:pt idx="235">
                  <c:v>5.21346207529933E-005</c:v>
                </c:pt>
                <c:pt idx="236">
                  <c:v>5.21350378425897E-005</c:v>
                </c:pt>
                <c:pt idx="237">
                  <c:v>5.21354403117912E-005</c:v>
                </c:pt>
                <c:pt idx="238">
                  <c:v>5.21358286730919E-005</c:v>
                </c:pt>
                <c:pt idx="239">
                  <c:v>5.21362034210212E-005</c:v>
                </c:pt>
                <c:pt idx="240">
                  <c:v>5.21365650327735E-005</c:v>
                </c:pt>
                <c:pt idx="241">
                  <c:v>5.21369139688163E-005</c:v>
                </c:pt>
                <c:pt idx="242">
                  <c:v>5.21372506734756E-005</c:v>
                </c:pt>
                <c:pt idx="243">
                  <c:v>5.21375755755028E-005</c:v>
                </c:pt>
                <c:pt idx="244">
                  <c:v>5.21378890886198E-005</c:v>
                </c:pt>
                <c:pt idx="245">
                  <c:v>5.21381916120463E-005</c:v>
                </c:pt>
                <c:pt idx="246">
                  <c:v>5.21384835310079E-005</c:v>
                </c:pt>
                <c:pt idx="247">
                  <c:v>5.21387652172269E-005</c:v>
                </c:pt>
                <c:pt idx="248">
                  <c:v>5.21390370293953E-005</c:v>
                </c:pt>
                <c:pt idx="249">
                  <c:v>5.21392993136319E-005</c:v>
                </c:pt>
                <c:pt idx="250">
                  <c:v>5.21395524039227E-005</c:v>
                </c:pt>
                <c:pt idx="251">
                  <c:v>5.21397966225465E-005</c:v>
                </c:pt>
                <c:pt idx="252">
                  <c:v>5.21400322804852E-005</c:v>
                </c:pt>
                <c:pt idx="253">
                  <c:v>5.21402596778195E-005</c:v>
                </c:pt>
                <c:pt idx="254">
                  <c:v>5.21404791041115E-005</c:v>
                </c:pt>
                <c:pt idx="255">
                  <c:v>5.2140690838773E-005</c:v>
                </c:pt>
                <c:pt idx="256">
                  <c:v>5.21408951514216E-005</c:v>
                </c:pt>
                <c:pt idx="257">
                  <c:v>5.21410923022239E-005</c:v>
                </c:pt>
                <c:pt idx="258">
                  <c:v>5.21412825422266E-005</c:v>
                </c:pt>
                <c:pt idx="259">
                  <c:v>5.21414661136766E-005</c:v>
                </c:pt>
                <c:pt idx="260">
                  <c:v>5.2141643250329E-005</c:v>
                </c:pt>
                <c:pt idx="261">
                  <c:v>5.21418141777453E-005</c:v>
                </c:pt>
                <c:pt idx="262">
                  <c:v>5.214197911358E-005</c:v>
                </c:pt>
                <c:pt idx="263">
                  <c:v>5.21421382678584E-005</c:v>
                </c:pt>
                <c:pt idx="264">
                  <c:v>5.21422918432432E-005</c:v>
                </c:pt>
                <c:pt idx="265">
                  <c:v>5.21424400352937E-005</c:v>
                </c:pt>
                <c:pt idx="266">
                  <c:v>5.21425830327138E-005</c:v>
                </c:pt>
                <c:pt idx="267">
                  <c:v>5.21427210175927E-005</c:v>
                </c:pt>
                <c:pt idx="268">
                  <c:v>5.2142854165637E-005</c:v>
                </c:pt>
                <c:pt idx="269">
                  <c:v>5.21429826463939E-005</c:v>
                </c:pt>
                <c:pt idx="270">
                  <c:v>5.21431066234677E-005</c:v>
                </c:pt>
                <c:pt idx="271">
                  <c:v>5.21432262547275E-005</c:v>
                </c:pt>
                <c:pt idx="272">
                  <c:v>5.21433416925088E-005</c:v>
                </c:pt>
                <c:pt idx="273">
                  <c:v>5.21434530838071E-005</c:v>
                </c:pt>
                <c:pt idx="274">
                  <c:v>5.21435605704653E-005</c:v>
                </c:pt>
                <c:pt idx="275">
                  <c:v>5.21436642893541E-005</c:v>
                </c:pt>
                <c:pt idx="276">
                  <c:v>5.21437643725467E-005</c:v>
                </c:pt>
                <c:pt idx="277">
                  <c:v>5.21438609474863E-005</c:v>
                </c:pt>
                <c:pt idx="278">
                  <c:v>5.2143954137149E-005</c:v>
                </c:pt>
                <c:pt idx="279">
                  <c:v>5.21440440602003E-005</c:v>
                </c:pt>
                <c:pt idx="280">
                  <c:v>5.21441308311457E-005</c:v>
                </c:pt>
                <c:pt idx="281">
                  <c:v>5.21442145604774E-005</c:v>
                </c:pt>
                <c:pt idx="282">
                  <c:v>5.2144295354814E-005</c:v>
                </c:pt>
                <c:pt idx="283">
                  <c:v>5.2144373317037E-005</c:v>
                </c:pt>
                <c:pt idx="284">
                  <c:v>5.21444485464215E-005</c:v>
                </c:pt>
                <c:pt idx="285">
                  <c:v>5.21445211387628E-005</c:v>
                </c:pt>
                <c:pt idx="286">
                  <c:v>5.21445911864981E-005</c:v>
                </c:pt>
                <c:pt idx="287">
                  <c:v>5.21446587788244E-005</c:v>
                </c:pt>
                <c:pt idx="288">
                  <c:v>5.2144724001812E-005</c:v>
                </c:pt>
                <c:pt idx="289">
                  <c:v>5.21447869385142E-005</c:v>
                </c:pt>
                <c:pt idx="290">
                  <c:v>5.21448476690731E-005</c:v>
                </c:pt>
                <c:pt idx="291">
                  <c:v>5.21449062708214E-005</c:v>
                </c:pt>
                <c:pt idx="292">
                  <c:v>5.21449628183811E-005</c:v>
                </c:pt>
                <c:pt idx="293">
                  <c:v>5.21450173837584E-005</c:v>
                </c:pt>
                <c:pt idx="294">
                  <c:v>5.21450700364355E-005</c:v>
                </c:pt>
                <c:pt idx="295">
                  <c:v>5.21451208434589E-005</c:v>
                </c:pt>
                <c:pt idx="296">
                  <c:v>5.2145169869525E-005</c:v>
                </c:pt>
                <c:pt idx="297">
                  <c:v>5.21452171770625E-005</c:v>
                </c:pt>
                <c:pt idx="298">
                  <c:v>5.21452628263114E-005</c:v>
                </c:pt>
                <c:pt idx="299">
                  <c:v>5.21453068754004E-005</c:v>
                </c:pt>
                <c:pt idx="300">
                  <c:v>5.21453493804206E-005</c:v>
                </c:pt>
                <c:pt idx="301">
                  <c:v>5.21453903954966E-005</c:v>
                </c:pt>
                <c:pt idx="302">
                  <c:v>5.21454299728561E-005</c:v>
                </c:pt>
                <c:pt idx="303">
                  <c:v>5.21454681628959E-005</c:v>
                </c:pt>
                <c:pt idx="304">
                  <c:v>5.21455050142461E-005</c:v>
                </c:pt>
                <c:pt idx="305">
                  <c:v>5.21455405738325E-005</c:v>
                </c:pt>
                <c:pt idx="306">
                  <c:v>5.21455748869356E-005</c:v>
                </c:pt>
                <c:pt idx="307">
                  <c:v>5.21456079972489E-005</c:v>
                </c:pt>
                <c:pt idx="308">
                  <c:v>5.21456399469342E-005</c:v>
                </c:pt>
                <c:pt idx="309">
                  <c:v>5.21456707766754E-005</c:v>
                </c:pt>
                <c:pt idx="310">
                  <c:v>5.21457005257304E-005</c:v>
                </c:pt>
                <c:pt idx="311">
                  <c:v>5.21457292319808E-005</c:v>
                </c:pt>
                <c:pt idx="312">
                  <c:v>5.21457569319805E-005</c:v>
                </c:pt>
                <c:pt idx="313">
                  <c:v>5.21457836610019E-005</c:v>
                </c:pt>
                <c:pt idx="314">
                  <c:v>5.21458094530811E-005</c:v>
                </c:pt>
                <c:pt idx="315">
                  <c:v>5.21458343410611E-005</c:v>
                </c:pt>
                <c:pt idx="316">
                  <c:v>5.21458583566335E-005</c:v>
                </c:pt>
                <c:pt idx="317">
                  <c:v>5.21458815303793E-005</c:v>
                </c:pt>
                <c:pt idx="318">
                  <c:v>5.21459038918073E-005</c:v>
                </c:pt>
                <c:pt idx="319">
                  <c:v>5.21459254693919E-005</c:v>
                </c:pt>
                <c:pt idx="320">
                  <c:v>5.21459462906094E-005</c:v>
                </c:pt>
                <c:pt idx="321">
                  <c:v>5.21459663819732E-005</c:v>
                </c:pt>
                <c:pt idx="322">
                  <c:v>5.21459857690671E-005</c:v>
                </c:pt>
                <c:pt idx="323">
                  <c:v>5.2146004476578E-005</c:v>
                </c:pt>
                <c:pt idx="324">
                  <c:v>5.21460225283276E-005</c:v>
                </c:pt>
                <c:pt idx="325">
                  <c:v>5.21460399473027E-005</c:v>
                </c:pt>
                <c:pt idx="326">
                  <c:v>5.2146056755684E-005</c:v>
                </c:pt>
                <c:pt idx="327">
                  <c:v>5.21460729748749E-005</c:v>
                </c:pt>
                <c:pt idx="328">
                  <c:v>5.21460886255286E-005</c:v>
                </c:pt>
                <c:pt idx="329">
                  <c:v>5.21461037275742E-005</c:v>
                </c:pt>
                <c:pt idx="330">
                  <c:v>5.21461183002422E-005</c:v>
                </c:pt>
                <c:pt idx="331">
                  <c:v>5.21461323620891E-005</c:v>
                </c:pt>
                <c:pt idx="332">
                  <c:v>5.21461459310209E-005</c:v>
                </c:pt>
                <c:pt idx="333">
                  <c:v>5.2146159024316E-005</c:v>
                </c:pt>
                <c:pt idx="334">
                  <c:v>5.2146171658647E-005</c:v>
                </c:pt>
                <c:pt idx="335">
                  <c:v>5.21461838501021E-005</c:v>
                </c:pt>
                <c:pt idx="336">
                  <c:v>5.21461956142057E-005</c:v>
                </c:pt>
                <c:pt idx="337">
                  <c:v>5.21462069659379E-005</c:v>
                </c:pt>
                <c:pt idx="338">
                  <c:v>5.21462179197536E-005</c:v>
                </c:pt>
                <c:pt idx="339">
                  <c:v>5.21462284896011E-005</c:v>
                </c:pt>
                <c:pt idx="340">
                  <c:v>5.214623868894E-005</c:v>
                </c:pt>
                <c:pt idx="341">
                  <c:v>5.21462485307576E-005</c:v>
                </c:pt>
                <c:pt idx="342">
                  <c:v>5.21462580275864E-005</c:v>
                </c:pt>
                <c:pt idx="343">
                  <c:v>5.21462671915194E-005</c:v>
                </c:pt>
                <c:pt idx="344">
                  <c:v>5.21462760342256E-005</c:v>
                </c:pt>
                <c:pt idx="345">
                  <c:v>5.21462845669652E-005</c:v>
                </c:pt>
                <c:pt idx="346">
                  <c:v>5.21462928006036E-005</c:v>
                </c:pt>
                <c:pt idx="347">
                  <c:v>5.21463007456252E-005</c:v>
                </c:pt>
                <c:pt idx="348">
                  <c:v>5.21463084121471E-005</c:v>
                </c:pt>
                <c:pt idx="349">
                  <c:v>5.21463158099315E-005</c:v>
                </c:pt>
                <c:pt idx="350">
                  <c:v>5.21463229483987E-005</c:v>
                </c:pt>
                <c:pt idx="351">
                  <c:v>5.21463298366386E-005</c:v>
                </c:pt>
                <c:pt idx="352">
                  <c:v>5.21463364834225E-005</c:v>
                </c:pt>
                <c:pt idx="353">
                  <c:v>5.21463428972142E-005</c:v>
                </c:pt>
                <c:pt idx="354">
                  <c:v>5.21463490861809E-005</c:v>
                </c:pt>
                <c:pt idx="355">
                  <c:v>5.21463550582035E-005</c:v>
                </c:pt>
                <c:pt idx="356">
                  <c:v>5.21463608208865E-005</c:v>
                </c:pt>
                <c:pt idx="357">
                  <c:v>5.21463663815682E-005</c:v>
                </c:pt>
                <c:pt idx="358">
                  <c:v>5.21463717473292E-005</c:v>
                </c:pt>
                <c:pt idx="359">
                  <c:v>5.21463769250022E-005</c:v>
                </c:pt>
                <c:pt idx="360">
                  <c:v>5.21463819211804E-005</c:v>
                </c:pt>
                <c:pt idx="361">
                  <c:v>5.21463867422257E-005</c:v>
                </c:pt>
                <c:pt idx="362">
                  <c:v>5.21463913942771E-005</c:v>
                </c:pt>
                <c:pt idx="363">
                  <c:v>5.21463958832584E-005</c:v>
                </c:pt>
                <c:pt idx="364">
                  <c:v>5.21464002148858E-005</c:v>
                </c:pt>
                <c:pt idx="365">
                  <c:v>5.21464043946751E-005</c:v>
                </c:pt>
                <c:pt idx="366">
                  <c:v>5.21464084279488E-005</c:v>
                </c:pt>
                <c:pt idx="367">
                  <c:v>5.21464123198425E-005</c:v>
                </c:pt>
                <c:pt idx="368">
                  <c:v>5.21464160753123E-005</c:v>
                </c:pt>
                <c:pt idx="369">
                  <c:v>5.21464196991403E-005</c:v>
                </c:pt>
                <c:pt idx="370">
                  <c:v>5.21464231959409E-005</c:v>
                </c:pt>
                <c:pt idx="371">
                  <c:v>5.21464265701668E-005</c:v>
                </c:pt>
                <c:pt idx="372">
                  <c:v>5.21464298261147E-005</c:v>
                </c:pt>
                <c:pt idx="373">
                  <c:v>5.21464329679307E-005</c:v>
                </c:pt>
                <c:pt idx="374">
                  <c:v>5.21464359996155E-005</c:v>
                </c:pt>
                <c:pt idx="375">
                  <c:v>5.21464389250295E-005</c:v>
                </c:pt>
                <c:pt idx="376">
                  <c:v>5.2146441747898E-005</c:v>
                </c:pt>
                <c:pt idx="377">
                  <c:v>5.21464444718153E-005</c:v>
                </c:pt>
                <c:pt idx="378">
                  <c:v>5.21464471002502E-005</c:v>
                </c:pt>
                <c:pt idx="379">
                  <c:v>5.21464496365496E-005</c:v>
                </c:pt>
                <c:pt idx="380">
                  <c:v>5.21464520839431E-005</c:v>
                </c:pt>
                <c:pt idx="381">
                  <c:v>5.21464544455473E-005</c:v>
                </c:pt>
                <c:pt idx="382">
                  <c:v>5.21464567243693E-005</c:v>
                </c:pt>
                <c:pt idx="383">
                  <c:v>5.21464589233109E-005</c:v>
                </c:pt>
                <c:pt idx="384">
                  <c:v>5.21464610451722E-005</c:v>
                </c:pt>
                <c:pt idx="385">
                  <c:v>5.21464630926551E-005</c:v>
                </c:pt>
                <c:pt idx="386">
                  <c:v>5.21464650683669E-005</c:v>
                </c:pt>
                <c:pt idx="387">
                  <c:v>5.21464669748233E-005</c:v>
                </c:pt>
                <c:pt idx="388">
                  <c:v>5.21464688144519E-005</c:v>
                </c:pt>
                <c:pt idx="389">
                  <c:v>5.21464705895954E-005</c:v>
                </c:pt>
                <c:pt idx="390">
                  <c:v>5.21464723025142E-005</c:v>
                </c:pt>
                <c:pt idx="391">
                  <c:v>5.21464739553893E-005</c:v>
                </c:pt>
                <c:pt idx="392">
                  <c:v>5.21464755503257E-005</c:v>
                </c:pt>
                <c:pt idx="393">
                  <c:v>5.21464770893541E-005</c:v>
                </c:pt>
                <c:pt idx="394">
                  <c:v>5.21464785744344E-005</c:v>
                </c:pt>
                <c:pt idx="395">
                  <c:v>5.21464800074577E-005</c:v>
                </c:pt>
                <c:pt idx="396">
                  <c:v>5.21464813902486E-005</c:v>
                </c:pt>
                <c:pt idx="397">
                  <c:v>5.21464827245681E-005</c:v>
                </c:pt>
                <c:pt idx="398">
                  <c:v>5.21464840121152E-005</c:v>
                </c:pt>
                <c:pt idx="399">
                  <c:v>5.21464852545294E-005</c:v>
                </c:pt>
                <c:pt idx="400">
                  <c:v>5.21464864533928E-005</c:v>
                </c:pt>
                <c:pt idx="401">
                  <c:v>5.2146487610232E-005</c:v>
                </c:pt>
                <c:pt idx="402">
                  <c:v>5.21464887265201E-005</c:v>
                </c:pt>
                <c:pt idx="403">
                  <c:v>5.21464898036786E-005</c:v>
                </c:pt>
                <c:pt idx="404">
                  <c:v>5.2146490843079E-005</c:v>
                </c:pt>
                <c:pt idx="405">
                  <c:v>5.2146491846045E-005</c:v>
                </c:pt>
                <c:pt idx="406">
                  <c:v>5.21464928138535E-005</c:v>
                </c:pt>
                <c:pt idx="407">
                  <c:v>5.21464937477372E-005</c:v>
                </c:pt>
                <c:pt idx="408">
                  <c:v>5.21464946488851E-005</c:v>
                </c:pt>
                <c:pt idx="409">
                  <c:v>5.21464955184447E-005</c:v>
                </c:pt>
                <c:pt idx="410">
                  <c:v>5.21464963575233E-005</c:v>
                </c:pt>
                <c:pt idx="411">
                  <c:v>5.21464971671894E-005</c:v>
                </c:pt>
                <c:pt idx="412">
                  <c:v>5.2146497948474E-005</c:v>
                </c:pt>
                <c:pt idx="413">
                  <c:v>5.21464987023719E-005</c:v>
                </c:pt>
                <c:pt idx="414">
                  <c:v>5.21464994298432E-005</c:v>
                </c:pt>
                <c:pt idx="415">
                  <c:v>5.21465001318141E-005</c:v>
                </c:pt>
                <c:pt idx="416">
                  <c:v>5.21465008091786E-005</c:v>
                </c:pt>
                <c:pt idx="417">
                  <c:v>5.21465014627992E-005</c:v>
                </c:pt>
                <c:pt idx="418">
                  <c:v>5.21465020935082E-005</c:v>
                </c:pt>
                <c:pt idx="419">
                  <c:v>5.21465027021087E-005</c:v>
                </c:pt>
                <c:pt idx="420">
                  <c:v>5.21465032893757E-005</c:v>
                </c:pt>
                <c:pt idx="421">
                  <c:v>5.2146503856057E-005</c:v>
                </c:pt>
                <c:pt idx="422">
                  <c:v>5.21465044028742E-005</c:v>
                </c:pt>
                <c:pt idx="423">
                  <c:v>5.21465049305237E-005</c:v>
                </c:pt>
                <c:pt idx="424">
                  <c:v>5.21465054396772E-005</c:v>
                </c:pt>
                <c:pt idx="425">
                  <c:v>5.21465059309833E-005</c:v>
                </c:pt>
                <c:pt idx="426">
                  <c:v>5.21465064050673E-005</c:v>
                </c:pt>
                <c:pt idx="427">
                  <c:v>5.21465068625332E-005</c:v>
                </c:pt>
                <c:pt idx="428">
                  <c:v>5.21465073039633E-005</c:v>
                </c:pt>
                <c:pt idx="429">
                  <c:v>5.21465077299198E-005</c:v>
                </c:pt>
                <c:pt idx="430">
                  <c:v>5.21465081409451E-005</c:v>
                </c:pt>
                <c:pt idx="431">
                  <c:v>5.21465085375626E-005</c:v>
                </c:pt>
                <c:pt idx="432">
                  <c:v>5.21465089202773E-005</c:v>
                </c:pt>
                <c:pt idx="433">
                  <c:v>5.21465092895765E-005</c:v>
                </c:pt>
                <c:pt idx="434">
                  <c:v>5.21465096459306E-005</c:v>
                </c:pt>
                <c:pt idx="435">
                  <c:v>5.21465099897933E-005</c:v>
                </c:pt>
                <c:pt idx="436">
                  <c:v>5.21465103216024E-005</c:v>
                </c:pt>
                <c:pt idx="437">
                  <c:v>5.21465106417805E-005</c:v>
                </c:pt>
                <c:pt idx="438">
                  <c:v>5.21465109507353E-005</c:v>
                </c:pt>
                <c:pt idx="439">
                  <c:v>5.21465112488601E-005</c:v>
                </c:pt>
                <c:pt idx="440">
                  <c:v>5.21465115365347E-005</c:v>
                </c:pt>
                <c:pt idx="441">
                  <c:v>5.21465118141254E-005</c:v>
                </c:pt>
                <c:pt idx="442">
                  <c:v>5.21465120819855E-005</c:v>
                </c:pt>
                <c:pt idx="443">
                  <c:v>5.21465123404562E-005</c:v>
                </c:pt>
                <c:pt idx="444">
                  <c:v>5.21465125898667E-005</c:v>
                </c:pt>
                <c:pt idx="445">
                  <c:v>5.21465128305345E-005</c:v>
                </c:pt>
                <c:pt idx="446">
                  <c:v>5.21465130627661E-005</c:v>
                </c:pt>
                <c:pt idx="447">
                  <c:v>5.21465132868572E-005</c:v>
                </c:pt>
                <c:pt idx="448">
                  <c:v>5.21465135030931E-005</c:v>
                </c:pt>
                <c:pt idx="449">
                  <c:v>5.21465137117492E-005</c:v>
                </c:pt>
                <c:pt idx="450">
                  <c:v>5.21465139130913E-005</c:v>
                </c:pt>
                <c:pt idx="451">
                  <c:v>5.21465141073756E-005</c:v>
                </c:pt>
                <c:pt idx="452">
                  <c:v>5.21465142948496E-005</c:v>
                </c:pt>
                <c:pt idx="453">
                  <c:v>5.2146514475752E-005</c:v>
                </c:pt>
                <c:pt idx="454">
                  <c:v>5.21465146503131E-005</c:v>
                </c:pt>
                <c:pt idx="455">
                  <c:v>5.21465148187553E-005</c:v>
                </c:pt>
                <c:pt idx="456">
                  <c:v>5.21465149812931E-005</c:v>
                </c:pt>
                <c:pt idx="457">
                  <c:v>5.21465151381333E-005</c:v>
                </c:pt>
                <c:pt idx="458">
                  <c:v>5.21465152894758E-005</c:v>
                </c:pt>
                <c:pt idx="459">
                  <c:v>5.21465154355132E-005</c:v>
                </c:pt>
                <c:pt idx="460">
                  <c:v>5.21465155764315E-005</c:v>
                </c:pt>
                <c:pt idx="461">
                  <c:v>5.21465157124101E-005</c:v>
                </c:pt>
                <c:pt idx="462">
                  <c:v>5.21465158436223E-005</c:v>
                </c:pt>
                <c:pt idx="463">
                  <c:v>5.2146515970235E-005</c:v>
                </c:pt>
                <c:pt idx="464">
                  <c:v>5.21465160924095E-005</c:v>
                </c:pt>
                <c:pt idx="465">
                  <c:v>5.21465162103014E-005</c:v>
                </c:pt>
                <c:pt idx="466">
                  <c:v>5.21465163240607E-005</c:v>
                </c:pt>
                <c:pt idx="467">
                  <c:v>5.21465164338324E-005</c:v>
                </c:pt>
                <c:pt idx="468">
                  <c:v>5.21465165397563E-005</c:v>
                </c:pt>
                <c:pt idx="469">
                  <c:v>5.21465166419672E-005</c:v>
                </c:pt>
                <c:pt idx="470">
                  <c:v>5.21465167405952E-005</c:v>
                </c:pt>
                <c:pt idx="471">
                  <c:v>5.2146516835766E-005</c:v>
                </c:pt>
                <c:pt idx="472">
                  <c:v>5.21465169276007E-005</c:v>
                </c:pt>
                <c:pt idx="473">
                  <c:v>5.21465170162163E-005</c:v>
                </c:pt>
                <c:pt idx="474">
                  <c:v>5.21465171017256E-005</c:v>
                </c:pt>
                <c:pt idx="475">
                  <c:v>5.21465171842376E-005</c:v>
                </c:pt>
                <c:pt idx="476">
                  <c:v>5.21465172638572E-005</c:v>
                </c:pt>
                <c:pt idx="477">
                  <c:v>5.21465173406859E-005</c:v>
                </c:pt>
                <c:pt idx="478">
                  <c:v>5.21465174148215E-005</c:v>
                </c:pt>
                <c:pt idx="479">
                  <c:v>5.21465174863584E-005</c:v>
                </c:pt>
                <c:pt idx="480">
                  <c:v>5.21465175553876E-005</c:v>
                </c:pt>
                <c:pt idx="481">
                  <c:v>5.21465176219972E-005</c:v>
                </c:pt>
                <c:pt idx="482">
                  <c:v>5.21465176862719E-005</c:v>
                </c:pt>
                <c:pt idx="483">
                  <c:v>5.21465177482935E-005</c:v>
                </c:pt>
                <c:pt idx="484">
                  <c:v>5.21465178081411E-005</c:v>
                </c:pt>
                <c:pt idx="485">
                  <c:v>5.21465178658908E-005</c:v>
                </c:pt>
                <c:pt idx="486">
                  <c:v>5.21465179216161E-005</c:v>
                </c:pt>
                <c:pt idx="487">
                  <c:v>5.21465179753882E-005</c:v>
                </c:pt>
                <c:pt idx="488">
                  <c:v>5.21465180272753E-005</c:v>
                </c:pt>
                <c:pt idx="489">
                  <c:v>5.21465180773436E-005</c:v>
                </c:pt>
                <c:pt idx="490">
                  <c:v>5.21465181256569E-005</c:v>
                </c:pt>
                <c:pt idx="491">
                  <c:v>5.21465181722766E-005</c:v>
                </c:pt>
                <c:pt idx="492">
                  <c:v>5.21465182172621E-005</c:v>
                </c:pt>
                <c:pt idx="493">
                  <c:v>5.21465182606707E-005</c:v>
                </c:pt>
                <c:pt idx="494">
                  <c:v>5.21465183025577E-005</c:v>
                </c:pt>
                <c:pt idx="495">
                  <c:v>5.21465183429765E-005</c:v>
                </c:pt>
                <c:pt idx="496">
                  <c:v>5.21465183819784E-005</c:v>
                </c:pt>
                <c:pt idx="497">
                  <c:v>5.21465184196132E-005</c:v>
                </c:pt>
                <c:pt idx="498">
                  <c:v>5.21465184559287E-005</c:v>
                </c:pt>
                <c:pt idx="499">
                  <c:v>5.21465184909713E-005</c:v>
                </c:pt>
                <c:pt idx="500">
                  <c:v>5.21465185247855E-005</c:v>
                </c:pt>
                <c:pt idx="501">
                  <c:v>5.21465185574144E-005</c:v>
                </c:pt>
                <c:pt idx="502">
                  <c:v>5.21465185888995E-005</c:v>
                </c:pt>
                <c:pt idx="503">
                  <c:v>5.2146518619281E-005</c:v>
                </c:pt>
                <c:pt idx="504">
                  <c:v>5.21465186485976E-005</c:v>
                </c:pt>
                <c:pt idx="505">
                  <c:v>5.21465186768864E-005</c:v>
                </c:pt>
                <c:pt idx="506">
                  <c:v>5.21465187041837E-005</c:v>
                </c:pt>
                <c:pt idx="507">
                  <c:v>5.21465187305241E-005</c:v>
                </c:pt>
                <c:pt idx="508">
                  <c:v>5.21465187559412E-005</c:v>
                </c:pt>
                <c:pt idx="509">
                  <c:v>5.21465187804673E-005</c:v>
                </c:pt>
                <c:pt idx="510">
                  <c:v>5.21465188041337E-005</c:v>
                </c:pt>
                <c:pt idx="511">
                  <c:v>5.21465188269705E-005</c:v>
                </c:pt>
                <c:pt idx="512">
                  <c:v>5.21465188490068E-005</c:v>
                </c:pt>
                <c:pt idx="513">
                  <c:v>5.21465188702706E-005</c:v>
                </c:pt>
                <c:pt idx="514">
                  <c:v>5.21465188907891E-005</c:v>
                </c:pt>
                <c:pt idx="515">
                  <c:v>5.21465189105884E-005</c:v>
                </c:pt>
                <c:pt idx="516">
                  <c:v>5.21465189296936E-005</c:v>
                </c:pt>
                <c:pt idx="517">
                  <c:v>5.21465189481291E-005</c:v>
                </c:pt>
                <c:pt idx="518">
                  <c:v>5.21465189659184E-005</c:v>
                </c:pt>
                <c:pt idx="519">
                  <c:v>5.21465189830841E-005</c:v>
                </c:pt>
                <c:pt idx="520">
                  <c:v>5.21465189996481E-005</c:v>
                </c:pt>
                <c:pt idx="521">
                  <c:v>5.21465190156315E-005</c:v>
                </c:pt>
                <c:pt idx="522">
                  <c:v>5.21465190310546E-005</c:v>
                </c:pt>
                <c:pt idx="523">
                  <c:v>5.2146519045937E-005</c:v>
                </c:pt>
                <c:pt idx="524">
                  <c:v>5.21465190602978E-005</c:v>
                </c:pt>
                <c:pt idx="525">
                  <c:v>5.21465190741552E-005</c:v>
                </c:pt>
                <c:pt idx="526">
                  <c:v>5.21465190875269E-005</c:v>
                </c:pt>
                <c:pt idx="527">
                  <c:v>5.21465191004298E-005</c:v>
                </c:pt>
                <c:pt idx="528">
                  <c:v>5.21465191128804E-005</c:v>
                </c:pt>
                <c:pt idx="529">
                  <c:v>5.21465191248946E-005</c:v>
                </c:pt>
                <c:pt idx="530">
                  <c:v>5.21465191364877E-005</c:v>
                </c:pt>
                <c:pt idx="531">
                  <c:v>5.21465191476744E-005</c:v>
                </c:pt>
                <c:pt idx="532">
                  <c:v>5.21465191584689E-005</c:v>
                </c:pt>
                <c:pt idx="533">
                  <c:v>5.21465191688851E-005</c:v>
                </c:pt>
                <c:pt idx="534">
                  <c:v>5.21465191789361E-005</c:v>
                </c:pt>
                <c:pt idx="535">
                  <c:v>5.21465191886348E-005</c:v>
                </c:pt>
                <c:pt idx="536">
                  <c:v>5.21465191979936E-005</c:v>
                </c:pt>
                <c:pt idx="537">
                  <c:v>5.21465192070243E-005</c:v>
                </c:pt>
                <c:pt idx="538">
                  <c:v>5.21465192157384E-005</c:v>
                </c:pt>
                <c:pt idx="539">
                  <c:v>5.21465192241471E-005</c:v>
                </c:pt>
                <c:pt idx="540">
                  <c:v>5.2146519232261E-005</c:v>
                </c:pt>
                <c:pt idx="541">
                  <c:v>5.21465192400905E-005</c:v>
                </c:pt>
                <c:pt idx="542">
                  <c:v>5.21465192476456E-005</c:v>
                </c:pt>
                <c:pt idx="543">
                  <c:v>5.21465192549358E-005</c:v>
                </c:pt>
                <c:pt idx="544">
                  <c:v>5.21465192619705E-005</c:v>
                </c:pt>
                <c:pt idx="545">
                  <c:v>5.21465192687586E-005</c:v>
                </c:pt>
                <c:pt idx="546">
                  <c:v>5.21465192753087E-005</c:v>
                </c:pt>
                <c:pt idx="547">
                  <c:v>5.21465192816293E-005</c:v>
                </c:pt>
                <c:pt idx="548">
                  <c:v>5.21465192877282E-005</c:v>
                </c:pt>
                <c:pt idx="549">
                  <c:v>5.21465192936134E-005</c:v>
                </c:pt>
                <c:pt idx="550">
                  <c:v>5.21465192992923E-005</c:v>
                </c:pt>
                <c:pt idx="551">
                  <c:v>5.21465193047721E-005</c:v>
                </c:pt>
                <c:pt idx="552">
                  <c:v>5.21465193100599E-005</c:v>
                </c:pt>
                <c:pt idx="553">
                  <c:v>5.21465193151623E-005</c:v>
                </c:pt>
                <c:pt idx="554">
                  <c:v>5.21465193200858E-005</c:v>
                </c:pt>
                <c:pt idx="555">
                  <c:v>5.21465193248368E-005</c:v>
                </c:pt>
                <c:pt idx="556">
                  <c:v>5.21465193294212E-005</c:v>
                </c:pt>
                <c:pt idx="557">
                  <c:v>5.21465193338449E-005</c:v>
                </c:pt>
                <c:pt idx="558">
                  <c:v>5.21465193381135E-005</c:v>
                </c:pt>
                <c:pt idx="559">
                  <c:v>5.21465193422326E-005</c:v>
                </c:pt>
                <c:pt idx="560">
                  <c:v>5.21465193462072E-005</c:v>
                </c:pt>
                <c:pt idx="561">
                  <c:v>5.21465193500425E-005</c:v>
                </c:pt>
                <c:pt idx="562">
                  <c:v>5.21465193537434E-005</c:v>
                </c:pt>
                <c:pt idx="563">
                  <c:v>5.21465193573145E-005</c:v>
                </c:pt>
                <c:pt idx="564">
                  <c:v>5.21465193607605E-005</c:v>
                </c:pt>
                <c:pt idx="565">
                  <c:v>5.21465193640856E-005</c:v>
                </c:pt>
                <c:pt idx="566">
                  <c:v>5.21465193672942E-005</c:v>
                </c:pt>
                <c:pt idx="567">
                  <c:v>5.21465193703904E-005</c:v>
                </c:pt>
                <c:pt idx="568">
                  <c:v>5.2146519373378E-005</c:v>
                </c:pt>
                <c:pt idx="569">
                  <c:v>5.21465193762609E-005</c:v>
                </c:pt>
                <c:pt idx="570">
                  <c:v>5.21465193790427E-005</c:v>
                </c:pt>
                <c:pt idx="571">
                  <c:v>5.2146519381727E-005</c:v>
                </c:pt>
                <c:pt idx="572">
                  <c:v>5.21465193843172E-005</c:v>
                </c:pt>
                <c:pt idx="573">
                  <c:v>5.21465193868166E-005</c:v>
                </c:pt>
                <c:pt idx="574">
                  <c:v>5.21465193892284E-005</c:v>
                </c:pt>
                <c:pt idx="575">
                  <c:v>5.21465193915557E-005</c:v>
                </c:pt>
                <c:pt idx="576">
                  <c:v>5.21465193938014E-005</c:v>
                </c:pt>
                <c:pt idx="577">
                  <c:v>5.21465193959684E-005</c:v>
                </c:pt>
                <c:pt idx="578">
                  <c:v>5.21465193980594E-005</c:v>
                </c:pt>
                <c:pt idx="579">
                  <c:v>5.21465194000771E-005</c:v>
                </c:pt>
                <c:pt idx="580">
                  <c:v>5.21465194020241E-005</c:v>
                </c:pt>
                <c:pt idx="581">
                  <c:v>5.21465194039028E-005</c:v>
                </c:pt>
                <c:pt idx="582">
                  <c:v>5.21465194057157E-005</c:v>
                </c:pt>
                <c:pt idx="583">
                  <c:v>5.2146519407465E-005</c:v>
                </c:pt>
                <c:pt idx="584">
                  <c:v>5.21465194091531E-005</c:v>
                </c:pt>
                <c:pt idx="585">
                  <c:v>5.21465194107819E-005</c:v>
                </c:pt>
                <c:pt idx="586">
                  <c:v>5.21465194123536E-005</c:v>
                </c:pt>
                <c:pt idx="587">
                  <c:v>5.21465194138703E-005</c:v>
                </c:pt>
                <c:pt idx="588">
                  <c:v>5.21465194153338E-005</c:v>
                </c:pt>
                <c:pt idx="589">
                  <c:v>5.2146519416746E-005</c:v>
                </c:pt>
                <c:pt idx="590">
                  <c:v>5.21465194181087E-005</c:v>
                </c:pt>
                <c:pt idx="591">
                  <c:v>5.21465194194236E-005</c:v>
                </c:pt>
                <c:pt idx="592">
                  <c:v>5.21465194206924E-005</c:v>
                </c:pt>
                <c:pt idx="593">
                  <c:v>5.21465194219167E-005</c:v>
                </c:pt>
                <c:pt idx="594">
                  <c:v>5.21465194230982E-005</c:v>
                </c:pt>
                <c:pt idx="595">
                  <c:v>5.21465194242382E-005</c:v>
                </c:pt>
                <c:pt idx="596">
                  <c:v>5.21465194253383E-005</c:v>
                </c:pt>
                <c:pt idx="597">
                  <c:v>5.21465194263998E-005</c:v>
                </c:pt>
                <c:pt idx="598">
                  <c:v>5.2146519427424E-005</c:v>
                </c:pt>
                <c:pt idx="599">
                  <c:v>5.21465194284124E-005</c:v>
                </c:pt>
                <c:pt idx="600">
                  <c:v>5.21465194293662E-005</c:v>
                </c:pt>
                <c:pt idx="601">
                  <c:v>5.21465194302865E-005</c:v>
                </c:pt>
                <c:pt idx="602">
                  <c:v>5.21465194311745E-005</c:v>
                </c:pt>
                <c:pt idx="603">
                  <c:v>5.21465194320314E-005</c:v>
                </c:pt>
                <c:pt idx="604">
                  <c:v>5.21465194328583E-005</c:v>
                </c:pt>
                <c:pt idx="605">
                  <c:v>5.21465194336562E-005</c:v>
                </c:pt>
                <c:pt idx="606">
                  <c:v>5.21465194344261E-005</c:v>
                </c:pt>
                <c:pt idx="607">
                  <c:v>5.21465194351691E-005</c:v>
                </c:pt>
                <c:pt idx="608">
                  <c:v>5.2146519435886E-005</c:v>
                </c:pt>
                <c:pt idx="609">
                  <c:v>5.21465194365777E-005</c:v>
                </c:pt>
                <c:pt idx="610">
                  <c:v>5.21465194372452E-005</c:v>
                </c:pt>
                <c:pt idx="611">
                  <c:v>5.21465194378894E-005</c:v>
                </c:pt>
                <c:pt idx="612">
                  <c:v>5.21465194385109E-005</c:v>
                </c:pt>
                <c:pt idx="613">
                  <c:v>5.21465194391107E-005</c:v>
                </c:pt>
                <c:pt idx="614">
                  <c:v>5.21465194396894E-005</c:v>
                </c:pt>
                <c:pt idx="615">
                  <c:v>5.21465194402478E-005</c:v>
                </c:pt>
                <c:pt idx="616">
                  <c:v>5.21465194407867E-005</c:v>
                </c:pt>
                <c:pt idx="617">
                  <c:v>5.21465194413067E-005</c:v>
                </c:pt>
                <c:pt idx="618">
                  <c:v>5.21465194418084E-005</c:v>
                </c:pt>
                <c:pt idx="619">
                  <c:v>5.21465194422926E-005</c:v>
                </c:pt>
                <c:pt idx="620">
                  <c:v>5.21465194427598E-005</c:v>
                </c:pt>
                <c:pt idx="621">
                  <c:v>5.21465194432106E-005</c:v>
                </c:pt>
                <c:pt idx="622">
                  <c:v>5.21465194436456E-005</c:v>
                </c:pt>
                <c:pt idx="623">
                  <c:v>5.21465194440654E-005</c:v>
                </c:pt>
                <c:pt idx="624">
                  <c:v>5.21465194444704E-005</c:v>
                </c:pt>
                <c:pt idx="625">
                  <c:v>5.21465194448613E-005</c:v>
                </c:pt>
                <c:pt idx="626">
                  <c:v>5.21465194452384E-005</c:v>
                </c:pt>
                <c:pt idx="627">
                  <c:v>5.21465194456023E-005</c:v>
                </c:pt>
                <c:pt idx="628">
                  <c:v>5.21465194459535E-005</c:v>
                </c:pt>
                <c:pt idx="629">
                  <c:v>5.21465194462924E-005</c:v>
                </c:pt>
                <c:pt idx="630">
                  <c:v>5.21465194466194E-005</c:v>
                </c:pt>
                <c:pt idx="631">
                  <c:v>5.21465194469349E-005</c:v>
                </c:pt>
                <c:pt idx="632">
                  <c:v>5.21465194472393E-005</c:v>
                </c:pt>
                <c:pt idx="633">
                  <c:v>5.21465194475331E-005</c:v>
                </c:pt>
                <c:pt idx="634">
                  <c:v>5.21465194478166E-005</c:v>
                </c:pt>
                <c:pt idx="635">
                  <c:v>5.21465194480902E-005</c:v>
                </c:pt>
                <c:pt idx="636">
                  <c:v>5.21465194483541E-005</c:v>
                </c:pt>
                <c:pt idx="637">
                  <c:v>5.21465194486089E-005</c:v>
                </c:pt>
                <c:pt idx="638">
                  <c:v>5.21465194488546E-005</c:v>
                </c:pt>
                <c:pt idx="639">
                  <c:v>5.21465194490918E-005</c:v>
                </c:pt>
                <c:pt idx="640">
                  <c:v>5.21465194493207E-005</c:v>
                </c:pt>
                <c:pt idx="641">
                  <c:v>5.21465194495415E-005</c:v>
                </c:pt>
                <c:pt idx="642">
                  <c:v>5.21465194497546E-005</c:v>
                </c:pt>
                <c:pt idx="643">
                  <c:v>5.21465194499602E-005</c:v>
                </c:pt>
                <c:pt idx="644">
                  <c:v>5.21465194501586E-005</c:v>
                </c:pt>
                <c:pt idx="645">
                  <c:v>5.21465194503501E-005</c:v>
                </c:pt>
                <c:pt idx="646">
                  <c:v>5.21465194505348E-005</c:v>
                </c:pt>
                <c:pt idx="647">
                  <c:v>5.21465194507131E-005</c:v>
                </c:pt>
                <c:pt idx="648">
                  <c:v>5.21465194508851E-005</c:v>
                </c:pt>
                <c:pt idx="649">
                  <c:v>5.21465194510511E-005</c:v>
                </c:pt>
                <c:pt idx="650">
                  <c:v>5.21465194512113E-005</c:v>
                </c:pt>
                <c:pt idx="651">
                  <c:v>5.21465194513659E-005</c:v>
                </c:pt>
                <c:pt idx="652">
                  <c:v>5.2146519451515E-005</c:v>
                </c:pt>
                <c:pt idx="653">
                  <c:v>5.21465194516589E-005</c:v>
                </c:pt>
                <c:pt idx="654">
                  <c:v>5.21465194517978E-005</c:v>
                </c:pt>
                <c:pt idx="655">
                  <c:v>5.21465194519318E-005</c:v>
                </c:pt>
                <c:pt idx="656">
                  <c:v>5.21465194520611E-005</c:v>
                </c:pt>
                <c:pt idx="657">
                  <c:v>5.21465194521859E-005</c:v>
                </c:pt>
                <c:pt idx="658">
                  <c:v>5.21465194523063E-005</c:v>
                </c:pt>
                <c:pt idx="659">
                  <c:v>5.21465194524224E-005</c:v>
                </c:pt>
                <c:pt idx="660">
                  <c:v>5.21465194525345E-005</c:v>
                </c:pt>
                <c:pt idx="661">
                  <c:v>5.21465194526427E-005</c:v>
                </c:pt>
                <c:pt idx="662">
                  <c:v>5.21465194527471E-005</c:v>
                </c:pt>
                <c:pt idx="663">
                  <c:v>5.21465194528478E-005</c:v>
                </c:pt>
                <c:pt idx="664">
                  <c:v>5.2146519452945E-005</c:v>
                </c:pt>
                <c:pt idx="665">
                  <c:v>5.21465194530388E-005</c:v>
                </c:pt>
                <c:pt idx="666">
                  <c:v>5.21465194531293E-005</c:v>
                </c:pt>
                <c:pt idx="667">
                  <c:v>5.21465194532166E-005</c:v>
                </c:pt>
                <c:pt idx="668">
                  <c:v>5.21465194533009E-005</c:v>
                </c:pt>
                <c:pt idx="669">
                  <c:v>5.21465194533822E-005</c:v>
                </c:pt>
                <c:pt idx="670">
                  <c:v>5.21465194534607E-005</c:v>
                </c:pt>
                <c:pt idx="671">
                  <c:v>5.21465194535364E-005</c:v>
                </c:pt>
                <c:pt idx="672">
                  <c:v>5.21465194536094E-005</c:v>
                </c:pt>
                <c:pt idx="673">
                  <c:v>5.21465194536799E-005</c:v>
                </c:pt>
                <c:pt idx="674">
                  <c:v>5.2146519453748E-005</c:v>
                </c:pt>
                <c:pt idx="675">
                  <c:v>5.21465194538136E-005</c:v>
                </c:pt>
                <c:pt idx="676">
                  <c:v>5.21465194538769E-005</c:v>
                </c:pt>
                <c:pt idx="677">
                  <c:v>5.21465194539381E-005</c:v>
                </c:pt>
                <c:pt idx="678">
                  <c:v>5.2146519453997E-005</c:v>
                </c:pt>
                <c:pt idx="679">
                  <c:v>5.2146519454054E-005</c:v>
                </c:pt>
                <c:pt idx="680">
                  <c:v>5.21465194541089E-005</c:v>
                </c:pt>
                <c:pt idx="681">
                  <c:v>5.21465194541619E-005</c:v>
                </c:pt>
                <c:pt idx="682">
                  <c:v>5.2146519454213E-005</c:v>
                </c:pt>
                <c:pt idx="683">
                  <c:v>5.21465194542623E-005</c:v>
                </c:pt>
                <c:pt idx="684">
                  <c:v>5.21465194543099E-005</c:v>
                </c:pt>
                <c:pt idx="685">
                  <c:v>5.21465194543559E-005</c:v>
                </c:pt>
                <c:pt idx="686">
                  <c:v>5.21465194544002E-005</c:v>
                </c:pt>
                <c:pt idx="687">
                  <c:v>5.2146519454443E-005</c:v>
                </c:pt>
                <c:pt idx="688">
                  <c:v>5.21465194544843E-005</c:v>
                </c:pt>
                <c:pt idx="689">
                  <c:v>5.21465194545241E-005</c:v>
                </c:pt>
                <c:pt idx="690">
                  <c:v>5.21465194545625E-005</c:v>
                </c:pt>
                <c:pt idx="691">
                  <c:v>5.21465194545996E-005</c:v>
                </c:pt>
                <c:pt idx="692">
                  <c:v>5.21465194546354E-005</c:v>
                </c:pt>
                <c:pt idx="693">
                  <c:v>5.21465194546699E-005</c:v>
                </c:pt>
                <c:pt idx="694">
                  <c:v>5.21465194547033E-005</c:v>
                </c:pt>
                <c:pt idx="695">
                  <c:v>5.21465194547354E-005</c:v>
                </c:pt>
                <c:pt idx="696">
                  <c:v>5.21465194547664E-005</c:v>
                </c:pt>
                <c:pt idx="697">
                  <c:v>5.21465194547964E-005</c:v>
                </c:pt>
                <c:pt idx="698">
                  <c:v>5.21465194548253E-005</c:v>
                </c:pt>
                <c:pt idx="699">
                  <c:v>5.21465194548532E-005</c:v>
                </c:pt>
                <c:pt idx="700">
                  <c:v>5.21465194548801E-005</c:v>
                </c:pt>
                <c:pt idx="701">
                  <c:v>5.2146519454906E-005</c:v>
                </c:pt>
                <c:pt idx="702">
                  <c:v>5.21465194549311E-005</c:v>
                </c:pt>
                <c:pt idx="703">
                  <c:v>5.21465194549552E-005</c:v>
                </c:pt>
                <c:pt idx="704">
                  <c:v>5.21465194549786E-005</c:v>
                </c:pt>
                <c:pt idx="705">
                  <c:v>5.21465194550011E-005</c:v>
                </c:pt>
                <c:pt idx="706">
                  <c:v>5.21465194550228E-005</c:v>
                </c:pt>
                <c:pt idx="707">
                  <c:v>5.21465194550437E-005</c:v>
                </c:pt>
                <c:pt idx="708">
                  <c:v>5.2146519455064E-005</c:v>
                </c:pt>
                <c:pt idx="709">
                  <c:v>5.21465194550835E-005</c:v>
                </c:pt>
                <c:pt idx="710">
                  <c:v>5.21465194551023E-005</c:v>
                </c:pt>
                <c:pt idx="711">
                  <c:v>5.21465194551205E-005</c:v>
                </c:pt>
                <c:pt idx="712">
                  <c:v>5.2146519455138E-005</c:v>
                </c:pt>
                <c:pt idx="713">
                  <c:v>5.21465194551549E-005</c:v>
                </c:pt>
                <c:pt idx="714">
                  <c:v>5.21465194551712E-005</c:v>
                </c:pt>
                <c:pt idx="715">
                  <c:v>5.2146519455187E-005</c:v>
                </c:pt>
                <c:pt idx="716">
                  <c:v>5.21465194552022E-005</c:v>
                </c:pt>
                <c:pt idx="717">
                  <c:v>5.21465194552169E-005</c:v>
                </c:pt>
                <c:pt idx="718">
                  <c:v>5.2146519455231E-005</c:v>
                </c:pt>
                <c:pt idx="719">
                  <c:v>5.21465194552447E-005</c:v>
                </c:pt>
                <c:pt idx="720">
                  <c:v>5.21465194552578E-005</c:v>
                </c:pt>
                <c:pt idx="721">
                  <c:v>5.21465194552705E-005</c:v>
                </c:pt>
                <c:pt idx="722">
                  <c:v>5.21465194552828E-005</c:v>
                </c:pt>
                <c:pt idx="723">
                  <c:v>5.21465194552947E-005</c:v>
                </c:pt>
                <c:pt idx="724">
                  <c:v>5.21465194553061E-005</c:v>
                </c:pt>
                <c:pt idx="725">
                  <c:v>5.21465194553171E-005</c:v>
                </c:pt>
                <c:pt idx="726">
                  <c:v>5.21465194553277E-005</c:v>
                </c:pt>
                <c:pt idx="727">
                  <c:v>5.2146519455338E-005</c:v>
                </c:pt>
                <c:pt idx="728">
                  <c:v>5.21465194553479E-005</c:v>
                </c:pt>
                <c:pt idx="729">
                  <c:v>5.21465194553575E-005</c:v>
                </c:pt>
                <c:pt idx="730">
                  <c:v>5.21465194553667E-005</c:v>
                </c:pt>
                <c:pt idx="731">
                  <c:v>5.21465194553756E-005</c:v>
                </c:pt>
                <c:pt idx="732">
                  <c:v>5.21465194553842E-005</c:v>
                </c:pt>
                <c:pt idx="733">
                  <c:v>5.21465194553925E-005</c:v>
                </c:pt>
                <c:pt idx="734">
                  <c:v>5.21465194554005E-005</c:v>
                </c:pt>
                <c:pt idx="735">
                  <c:v>5.21465194554082E-005</c:v>
                </c:pt>
                <c:pt idx="736">
                  <c:v>5.21465194554156E-005</c:v>
                </c:pt>
                <c:pt idx="737">
                  <c:v>5.21465194554228E-005</c:v>
                </c:pt>
                <c:pt idx="738">
                  <c:v>5.21465194554297E-005</c:v>
                </c:pt>
                <c:pt idx="739">
                  <c:v>5.21465194554364E-005</c:v>
                </c:pt>
                <c:pt idx="740">
                  <c:v>5.21465194554429E-005</c:v>
                </c:pt>
                <c:pt idx="741">
                  <c:v>5.21465194554491E-005</c:v>
                </c:pt>
                <c:pt idx="742">
                  <c:v>5.21465194554551E-005</c:v>
                </c:pt>
                <c:pt idx="743">
                  <c:v>5.21465194554609E-005</c:v>
                </c:pt>
                <c:pt idx="744">
                  <c:v>5.21465194554665E-005</c:v>
                </c:pt>
                <c:pt idx="745">
                  <c:v>5.21465194554719E-005</c:v>
                </c:pt>
                <c:pt idx="746">
                  <c:v>5.21465194554771E-005</c:v>
                </c:pt>
                <c:pt idx="747">
                  <c:v>5.21465194554822E-005</c:v>
                </c:pt>
                <c:pt idx="748">
                  <c:v>5.2146519455487E-005</c:v>
                </c:pt>
                <c:pt idx="749">
                  <c:v>5.21465194554917E-005</c:v>
                </c:pt>
                <c:pt idx="750">
                  <c:v>5.21465194554962E-005</c:v>
                </c:pt>
                <c:pt idx="751">
                  <c:v>5.21465194555006E-005</c:v>
                </c:pt>
                <c:pt idx="752">
                  <c:v>5.21465194555048E-005</c:v>
                </c:pt>
                <c:pt idx="753">
                  <c:v>5.21465194555088E-005</c:v>
                </c:pt>
                <c:pt idx="754">
                  <c:v>5.21465194555127E-005</c:v>
                </c:pt>
                <c:pt idx="755">
                  <c:v>5.21465194555165E-005</c:v>
                </c:pt>
                <c:pt idx="756">
                  <c:v>5.21465194555202E-005</c:v>
                </c:pt>
                <c:pt idx="757">
                  <c:v>5.21465194555237E-005</c:v>
                </c:pt>
                <c:pt idx="758">
                  <c:v>5.21465194555271E-005</c:v>
                </c:pt>
                <c:pt idx="759">
                  <c:v>5.21465194555304E-005</c:v>
                </c:pt>
                <c:pt idx="760">
                  <c:v>5.21465194555335E-005</c:v>
                </c:pt>
                <c:pt idx="761">
                  <c:v>5.21465194555366E-005</c:v>
                </c:pt>
                <c:pt idx="762">
                  <c:v>5.21465194555395E-005</c:v>
                </c:pt>
                <c:pt idx="763">
                  <c:v>5.21465194555424E-005</c:v>
                </c:pt>
                <c:pt idx="764">
                  <c:v>5.21465194555451E-005</c:v>
                </c:pt>
                <c:pt idx="765">
                  <c:v>5.21465194555478E-005</c:v>
                </c:pt>
                <c:pt idx="766">
                  <c:v>5.21465194555503E-005</c:v>
                </c:pt>
                <c:pt idx="767">
                  <c:v>5.21465194555528E-005</c:v>
                </c:pt>
                <c:pt idx="768">
                  <c:v>5.21465194555552E-005</c:v>
                </c:pt>
                <c:pt idx="769">
                  <c:v>5.21465194555574E-005</c:v>
                </c:pt>
                <c:pt idx="770">
                  <c:v>5.21465194555596E-005</c:v>
                </c:pt>
                <c:pt idx="771">
                  <c:v>5.21465194555618E-005</c:v>
                </c:pt>
                <c:pt idx="772">
                  <c:v>5.21465194555638E-005</c:v>
                </c:pt>
                <c:pt idx="773">
                  <c:v>5.21465194555658E-005</c:v>
                </c:pt>
                <c:pt idx="774">
                  <c:v>5.21465194555678E-005</c:v>
                </c:pt>
                <c:pt idx="775">
                  <c:v>5.21465194555696E-005</c:v>
                </c:pt>
                <c:pt idx="776">
                  <c:v>5.21465194555714E-005</c:v>
                </c:pt>
                <c:pt idx="777">
                  <c:v>5.21465194555731E-005</c:v>
                </c:pt>
                <c:pt idx="778">
                  <c:v>5.21465194555748E-005</c:v>
                </c:pt>
                <c:pt idx="779">
                  <c:v>5.21465194555764E-005</c:v>
                </c:pt>
                <c:pt idx="780">
                  <c:v>5.21465194555779E-005</c:v>
                </c:pt>
                <c:pt idx="781">
                  <c:v>5.21465194555794E-005</c:v>
                </c:pt>
                <c:pt idx="782">
                  <c:v>5.21465194555809E-005</c:v>
                </c:pt>
                <c:pt idx="783">
                  <c:v>5.21465194555823E-005</c:v>
                </c:pt>
                <c:pt idx="784">
                  <c:v>5.21465194555836E-005</c:v>
                </c:pt>
                <c:pt idx="785">
                  <c:v>5.21465194555849E-005</c:v>
                </c:pt>
                <c:pt idx="786">
                  <c:v>5.21465194555862E-005</c:v>
                </c:pt>
                <c:pt idx="787">
                  <c:v>5.21465194555874E-005</c:v>
                </c:pt>
                <c:pt idx="788">
                  <c:v>5.21465194555885E-005</c:v>
                </c:pt>
                <c:pt idx="789">
                  <c:v>5.21465194555896E-005</c:v>
                </c:pt>
                <c:pt idx="790">
                  <c:v>5.21465194555907E-005</c:v>
                </c:pt>
                <c:pt idx="791">
                  <c:v>5.21465194555918E-005</c:v>
                </c:pt>
                <c:pt idx="792">
                  <c:v>5.21465194555928E-005</c:v>
                </c:pt>
                <c:pt idx="793">
                  <c:v>5.21465194555938E-005</c:v>
                </c:pt>
                <c:pt idx="794">
                  <c:v>5.21465194555947E-005</c:v>
                </c:pt>
                <c:pt idx="795">
                  <c:v>5.21465194555956E-005</c:v>
                </c:pt>
                <c:pt idx="796">
                  <c:v>5.21465194555965E-005</c:v>
                </c:pt>
                <c:pt idx="797">
                  <c:v>5.21465194555973E-005</c:v>
                </c:pt>
                <c:pt idx="798">
                  <c:v>5.21465194555981E-005</c:v>
                </c:pt>
                <c:pt idx="799">
                  <c:v>5.21465194555989E-005</c:v>
                </c:pt>
                <c:pt idx="800">
                  <c:v>5.21465194555997E-005</c:v>
                </c:pt>
                <c:pt idx="801">
                  <c:v>5.21465194556004E-005</c:v>
                </c:pt>
                <c:pt idx="802">
                  <c:v>5.21465194556011E-005</c:v>
                </c:pt>
                <c:pt idx="803">
                  <c:v>5.21465194556018E-005</c:v>
                </c:pt>
                <c:pt idx="804">
                  <c:v>5.21465194556025E-005</c:v>
                </c:pt>
                <c:pt idx="805">
                  <c:v>5.21465194556031E-005</c:v>
                </c:pt>
                <c:pt idx="806">
                  <c:v>5.21465194556037E-005</c:v>
                </c:pt>
                <c:pt idx="807">
                  <c:v>5.21465194556043E-005</c:v>
                </c:pt>
                <c:pt idx="808">
                  <c:v>5.21465194556049E-005</c:v>
                </c:pt>
                <c:pt idx="809">
                  <c:v>5.21465194556054E-005</c:v>
                </c:pt>
                <c:pt idx="810">
                  <c:v>5.2146519455606E-005</c:v>
                </c:pt>
                <c:pt idx="811">
                  <c:v>5.21465194556065E-005</c:v>
                </c:pt>
                <c:pt idx="812">
                  <c:v>5.2146519455607E-005</c:v>
                </c:pt>
                <c:pt idx="813">
                  <c:v>5.21465194556074E-005</c:v>
                </c:pt>
                <c:pt idx="814">
                  <c:v>5.21465194556079E-005</c:v>
                </c:pt>
                <c:pt idx="815">
                  <c:v>5.21465194556083E-005</c:v>
                </c:pt>
                <c:pt idx="816">
                  <c:v>5.21465194556088E-005</c:v>
                </c:pt>
                <c:pt idx="817">
                  <c:v>5.21465194556092E-005</c:v>
                </c:pt>
                <c:pt idx="818">
                  <c:v>5.21465194556096E-005</c:v>
                </c:pt>
                <c:pt idx="819">
                  <c:v>5.214651945561E-005</c:v>
                </c:pt>
                <c:pt idx="820">
                  <c:v>5.21465194556103E-005</c:v>
                </c:pt>
                <c:pt idx="821">
                  <c:v>5.21465194556107E-005</c:v>
                </c:pt>
                <c:pt idx="822">
                  <c:v>5.2146519455611E-005</c:v>
                </c:pt>
                <c:pt idx="823">
                  <c:v>5.21465194556114E-005</c:v>
                </c:pt>
                <c:pt idx="824">
                  <c:v>5.21465194556117E-005</c:v>
                </c:pt>
                <c:pt idx="825">
                  <c:v>5.2146519455612E-005</c:v>
                </c:pt>
                <c:pt idx="826">
                  <c:v>5.21465194556123E-005</c:v>
                </c:pt>
                <c:pt idx="827">
                  <c:v>5.21465194556126E-005</c:v>
                </c:pt>
                <c:pt idx="828">
                  <c:v>5.21465194556129E-005</c:v>
                </c:pt>
                <c:pt idx="829">
                  <c:v>5.21465194556131E-005</c:v>
                </c:pt>
                <c:pt idx="830">
                  <c:v>5.21465194556134E-005</c:v>
                </c:pt>
                <c:pt idx="831">
                  <c:v>5.21465194556137E-005</c:v>
                </c:pt>
                <c:pt idx="832">
                  <c:v>5.21465194556139E-005</c:v>
                </c:pt>
                <c:pt idx="833">
                  <c:v>5.21465194556141E-005</c:v>
                </c:pt>
                <c:pt idx="834">
                  <c:v>5.21465194556144E-005</c:v>
                </c:pt>
                <c:pt idx="835">
                  <c:v>5.21465194556146E-005</c:v>
                </c:pt>
                <c:pt idx="836">
                  <c:v>5.21465194556148E-005</c:v>
                </c:pt>
                <c:pt idx="837">
                  <c:v>5.2146519455615E-005</c:v>
                </c:pt>
                <c:pt idx="838">
                  <c:v>5.21465194556152E-005</c:v>
                </c:pt>
                <c:pt idx="839">
                  <c:v>5.21465194556154E-005</c:v>
                </c:pt>
                <c:pt idx="840">
                  <c:v>5.21465194556156E-005</c:v>
                </c:pt>
                <c:pt idx="841">
                  <c:v>5.21465194556157E-005</c:v>
                </c:pt>
                <c:pt idx="842">
                  <c:v>5.21465194556159E-005</c:v>
                </c:pt>
                <c:pt idx="843">
                  <c:v>5.21465194556161E-005</c:v>
                </c:pt>
                <c:pt idx="844">
                  <c:v>5.21465194556162E-005</c:v>
                </c:pt>
                <c:pt idx="845">
                  <c:v>5.21465194556164E-005</c:v>
                </c:pt>
                <c:pt idx="846">
                  <c:v>5.21465194556165E-005</c:v>
                </c:pt>
                <c:pt idx="847">
                  <c:v>5.21465194556167E-005</c:v>
                </c:pt>
                <c:pt idx="848">
                  <c:v>5.21465194556168E-005</c:v>
                </c:pt>
                <c:pt idx="849">
                  <c:v>5.21465194556169E-005</c:v>
                </c:pt>
                <c:pt idx="850">
                  <c:v>5.21465194556171E-005</c:v>
                </c:pt>
                <c:pt idx="851">
                  <c:v>5.21465194556172E-005</c:v>
                </c:pt>
                <c:pt idx="852">
                  <c:v>5.21465194556173E-005</c:v>
                </c:pt>
                <c:pt idx="853">
                  <c:v>5.21465194556174E-005</c:v>
                </c:pt>
                <c:pt idx="854">
                  <c:v>5.21465194556175E-005</c:v>
                </c:pt>
                <c:pt idx="855">
                  <c:v>5.21465194556176E-005</c:v>
                </c:pt>
                <c:pt idx="856">
                  <c:v>5.21465194556177E-005</c:v>
                </c:pt>
                <c:pt idx="857">
                  <c:v>5.21465194556178E-005</c:v>
                </c:pt>
                <c:pt idx="858">
                  <c:v>5.21465194556179E-005</c:v>
                </c:pt>
                <c:pt idx="859">
                  <c:v>5.2146519455618E-005</c:v>
                </c:pt>
                <c:pt idx="860">
                  <c:v>5.21465194556181E-005</c:v>
                </c:pt>
                <c:pt idx="861">
                  <c:v>5.21465194556182E-005</c:v>
                </c:pt>
                <c:pt idx="862">
                  <c:v>5.21465194556183E-005</c:v>
                </c:pt>
                <c:pt idx="863">
                  <c:v>5.21465194556184E-005</c:v>
                </c:pt>
                <c:pt idx="864">
                  <c:v>5.21465194556184E-005</c:v>
                </c:pt>
                <c:pt idx="865">
                  <c:v>5.21465194556185E-005</c:v>
                </c:pt>
                <c:pt idx="866">
                  <c:v>5.21465194556186E-005</c:v>
                </c:pt>
                <c:pt idx="867">
                  <c:v>5.21465194556187E-005</c:v>
                </c:pt>
                <c:pt idx="868">
                  <c:v>5.21465194556187E-005</c:v>
                </c:pt>
                <c:pt idx="869">
                  <c:v>5.21465194556188E-005</c:v>
                </c:pt>
                <c:pt idx="870">
                  <c:v>5.21465194556189E-005</c:v>
                </c:pt>
                <c:pt idx="871">
                  <c:v>5.21465194556189E-005</c:v>
                </c:pt>
                <c:pt idx="872">
                  <c:v>5.2146519455619E-005</c:v>
                </c:pt>
                <c:pt idx="873">
                  <c:v>5.2146519455619E-005</c:v>
                </c:pt>
                <c:pt idx="874">
                  <c:v>5.21465194556191E-005</c:v>
                </c:pt>
                <c:pt idx="875">
                  <c:v>5.21465194556191E-005</c:v>
                </c:pt>
                <c:pt idx="876">
                  <c:v>5.21465194556192E-005</c:v>
                </c:pt>
                <c:pt idx="877">
                  <c:v>5.21465194556192E-005</c:v>
                </c:pt>
                <c:pt idx="878">
                  <c:v>5.21465194556193E-005</c:v>
                </c:pt>
                <c:pt idx="879">
                  <c:v>5.21465194556193E-005</c:v>
                </c:pt>
                <c:pt idx="880">
                  <c:v>5.21465194556194E-005</c:v>
                </c:pt>
                <c:pt idx="881">
                  <c:v>5.21465194556194E-005</c:v>
                </c:pt>
                <c:pt idx="882">
                  <c:v>5.21465194556195E-005</c:v>
                </c:pt>
                <c:pt idx="883">
                  <c:v>5.21465194556195E-005</c:v>
                </c:pt>
                <c:pt idx="884">
                  <c:v>5.21465194556195E-005</c:v>
                </c:pt>
                <c:pt idx="885">
                  <c:v>5.21465194556196E-005</c:v>
                </c:pt>
                <c:pt idx="886">
                  <c:v>5.21465194556196E-005</c:v>
                </c:pt>
                <c:pt idx="887">
                  <c:v>5.21465194556196E-005</c:v>
                </c:pt>
                <c:pt idx="888">
                  <c:v>5.21465194556197E-005</c:v>
                </c:pt>
                <c:pt idx="889">
                  <c:v>5.21465194556197E-005</c:v>
                </c:pt>
                <c:pt idx="890">
                  <c:v>5.21465194556197E-005</c:v>
                </c:pt>
                <c:pt idx="891">
                  <c:v>5.21465194556198E-005</c:v>
                </c:pt>
                <c:pt idx="892">
                  <c:v>5.21465194556198E-005</c:v>
                </c:pt>
                <c:pt idx="893">
                  <c:v>5.21465194556198E-005</c:v>
                </c:pt>
                <c:pt idx="894">
                  <c:v>5.21465194556198E-005</c:v>
                </c:pt>
                <c:pt idx="895">
                  <c:v>5.21465194556199E-005</c:v>
                </c:pt>
                <c:pt idx="896">
                  <c:v>5.21465194556199E-005</c:v>
                </c:pt>
                <c:pt idx="897">
                  <c:v>5.21465194556199E-005</c:v>
                </c:pt>
                <c:pt idx="898">
                  <c:v>5.21465194556199E-005</c:v>
                </c:pt>
                <c:pt idx="899">
                  <c:v>5.214651945562E-005</c:v>
                </c:pt>
                <c:pt idx="900">
                  <c:v>5.214651945562E-005</c:v>
                </c:pt>
                <c:pt idx="901">
                  <c:v>5.214651945562E-005</c:v>
                </c:pt>
                <c:pt idx="902">
                  <c:v>5.214651945562E-005</c:v>
                </c:pt>
                <c:pt idx="903">
                  <c:v>5.214651945562E-005</c:v>
                </c:pt>
                <c:pt idx="904">
                  <c:v>5.21465194556201E-005</c:v>
                </c:pt>
                <c:pt idx="905">
                  <c:v>5.21465194556201E-005</c:v>
                </c:pt>
                <c:pt idx="906">
                  <c:v>5.21465194556201E-005</c:v>
                </c:pt>
                <c:pt idx="907">
                  <c:v>5.21465194556201E-005</c:v>
                </c:pt>
                <c:pt idx="908">
                  <c:v>5.21465194556201E-005</c:v>
                </c:pt>
                <c:pt idx="909">
                  <c:v>5.21465194556201E-005</c:v>
                </c:pt>
                <c:pt idx="910">
                  <c:v>5.21465194556202E-005</c:v>
                </c:pt>
                <c:pt idx="911">
                  <c:v>5.21465194556202E-005</c:v>
                </c:pt>
                <c:pt idx="912">
                  <c:v>5.21465194556202E-005</c:v>
                </c:pt>
                <c:pt idx="913">
                  <c:v>5.21465194556202E-005</c:v>
                </c:pt>
                <c:pt idx="914">
                  <c:v>5.21465194556202E-005</c:v>
                </c:pt>
                <c:pt idx="915">
                  <c:v>5.21465194556202E-005</c:v>
                </c:pt>
                <c:pt idx="916">
                  <c:v>5.21465194556202E-005</c:v>
                </c:pt>
                <c:pt idx="917">
                  <c:v>5.21465194556203E-005</c:v>
                </c:pt>
                <c:pt idx="918">
                  <c:v>5.21465194556203E-005</c:v>
                </c:pt>
                <c:pt idx="919">
                  <c:v>5.21465194556203E-005</c:v>
                </c:pt>
                <c:pt idx="920">
                  <c:v>5.21465194556203E-005</c:v>
                </c:pt>
                <c:pt idx="921">
                  <c:v>5.21465194556203E-005</c:v>
                </c:pt>
                <c:pt idx="922">
                  <c:v>5.21465194556203E-005</c:v>
                </c:pt>
                <c:pt idx="923">
                  <c:v>5.21465194556203E-005</c:v>
                </c:pt>
                <c:pt idx="924">
                  <c:v>5.21465194556203E-005</c:v>
                </c:pt>
                <c:pt idx="925">
                  <c:v>5.21465194556203E-005</c:v>
                </c:pt>
                <c:pt idx="926">
                  <c:v>5.21465194556203E-005</c:v>
                </c:pt>
                <c:pt idx="927">
                  <c:v>5.21465194556204E-005</c:v>
                </c:pt>
                <c:pt idx="928">
                  <c:v>5.21465194556204E-005</c:v>
                </c:pt>
                <c:pt idx="929">
                  <c:v>5.21465194556204E-005</c:v>
                </c:pt>
                <c:pt idx="930">
                  <c:v>5.21465194556204E-005</c:v>
                </c:pt>
                <c:pt idx="931">
                  <c:v>5.21465194556204E-005</c:v>
                </c:pt>
                <c:pt idx="932">
                  <c:v>5.21465194556204E-005</c:v>
                </c:pt>
                <c:pt idx="933">
                  <c:v>5.21465194556204E-005</c:v>
                </c:pt>
                <c:pt idx="934">
                  <c:v>5.21465194556204E-005</c:v>
                </c:pt>
                <c:pt idx="935">
                  <c:v>5.21465194556204E-005</c:v>
                </c:pt>
                <c:pt idx="936">
                  <c:v>5.21465194556204E-005</c:v>
                </c:pt>
                <c:pt idx="937">
                  <c:v>5.21465194556204E-005</c:v>
                </c:pt>
                <c:pt idx="938">
                  <c:v>5.21465194556204E-005</c:v>
                </c:pt>
                <c:pt idx="939">
                  <c:v>5.21465194556204E-005</c:v>
                </c:pt>
                <c:pt idx="940">
                  <c:v>5.21465194556204E-005</c:v>
                </c:pt>
                <c:pt idx="941">
                  <c:v>5.21465194556204E-005</c:v>
                </c:pt>
                <c:pt idx="942">
                  <c:v>5.21465194556204E-005</c:v>
                </c:pt>
                <c:pt idx="943">
                  <c:v>5.21465194556204E-005</c:v>
                </c:pt>
                <c:pt idx="944">
                  <c:v>5.21465194556204E-005</c:v>
                </c:pt>
                <c:pt idx="945">
                  <c:v>5.21465194556205E-005</c:v>
                </c:pt>
                <c:pt idx="946">
                  <c:v>5.21465194556205E-005</c:v>
                </c:pt>
                <c:pt idx="947">
                  <c:v>5.21465194556205E-005</c:v>
                </c:pt>
                <c:pt idx="948">
                  <c:v>5.21465194556205E-005</c:v>
                </c:pt>
                <c:pt idx="949">
                  <c:v>5.21465194556205E-005</c:v>
                </c:pt>
                <c:pt idx="950">
                  <c:v>5.21465194556205E-005</c:v>
                </c:pt>
                <c:pt idx="951">
                  <c:v>5.21465194556205E-005</c:v>
                </c:pt>
                <c:pt idx="952">
                  <c:v>5.21465194556205E-005</c:v>
                </c:pt>
                <c:pt idx="953">
                  <c:v>5.21465194556205E-005</c:v>
                </c:pt>
                <c:pt idx="954">
                  <c:v>5.21465194556205E-005</c:v>
                </c:pt>
                <c:pt idx="955">
                  <c:v>5.21465194556205E-005</c:v>
                </c:pt>
                <c:pt idx="956">
                  <c:v>5.21465194556205E-005</c:v>
                </c:pt>
                <c:pt idx="957">
                  <c:v>5.21465194556205E-005</c:v>
                </c:pt>
                <c:pt idx="958">
                  <c:v>5.21465194556205E-005</c:v>
                </c:pt>
                <c:pt idx="959">
                  <c:v>5.21465194556205E-005</c:v>
                </c:pt>
                <c:pt idx="960">
                  <c:v>5.21465194556205E-005</c:v>
                </c:pt>
                <c:pt idx="961">
                  <c:v>5.21465194556205E-005</c:v>
                </c:pt>
                <c:pt idx="962">
                  <c:v>5.21465194556205E-005</c:v>
                </c:pt>
                <c:pt idx="963">
                  <c:v>5.21465194556205E-005</c:v>
                </c:pt>
                <c:pt idx="964">
                  <c:v>5.21465194556205E-005</c:v>
                </c:pt>
                <c:pt idx="965">
                  <c:v>5.21465194556205E-005</c:v>
                </c:pt>
                <c:pt idx="966">
                  <c:v>5.21465194556205E-005</c:v>
                </c:pt>
                <c:pt idx="967">
                  <c:v>5.21465194556205E-005</c:v>
                </c:pt>
                <c:pt idx="968">
                  <c:v>5.21465194556205E-005</c:v>
                </c:pt>
                <c:pt idx="969">
                  <c:v>5.21465194556205E-005</c:v>
                </c:pt>
                <c:pt idx="970">
                  <c:v>5.21465194556205E-005</c:v>
                </c:pt>
                <c:pt idx="971">
                  <c:v>5.21465194556205E-005</c:v>
                </c:pt>
                <c:pt idx="972">
                  <c:v>5.21465194556205E-005</c:v>
                </c:pt>
                <c:pt idx="973">
                  <c:v>5.21465194556205E-005</c:v>
                </c:pt>
                <c:pt idx="974">
                  <c:v>5.21465194556205E-005</c:v>
                </c:pt>
                <c:pt idx="975">
                  <c:v>5.21465194556205E-005</c:v>
                </c:pt>
                <c:pt idx="976">
                  <c:v>5.21465194556205E-005</c:v>
                </c:pt>
                <c:pt idx="977">
                  <c:v>5.21465194556205E-005</c:v>
                </c:pt>
                <c:pt idx="978">
                  <c:v>5.21465194556205E-005</c:v>
                </c:pt>
                <c:pt idx="979">
                  <c:v>5.21465194556205E-005</c:v>
                </c:pt>
                <c:pt idx="980">
                  <c:v>5.21465194556205E-005</c:v>
                </c:pt>
                <c:pt idx="981">
                  <c:v>5.21465194556205E-005</c:v>
                </c:pt>
                <c:pt idx="982">
                  <c:v>5.21465194556205E-005</c:v>
                </c:pt>
                <c:pt idx="983">
                  <c:v>5.21465194556205E-005</c:v>
                </c:pt>
                <c:pt idx="984">
                  <c:v>5.21465194556205E-005</c:v>
                </c:pt>
                <c:pt idx="985">
                  <c:v>5.21465194556205E-005</c:v>
                </c:pt>
                <c:pt idx="986">
                  <c:v>5.21465194556205E-005</c:v>
                </c:pt>
                <c:pt idx="987">
                  <c:v>5.21465194556205E-005</c:v>
                </c:pt>
                <c:pt idx="988">
                  <c:v>5.21465194556205E-005</c:v>
                </c:pt>
                <c:pt idx="989">
                  <c:v>5.21465194556205E-005</c:v>
                </c:pt>
                <c:pt idx="990">
                  <c:v>5.21465194556205E-005</c:v>
                </c:pt>
                <c:pt idx="991">
                  <c:v>5.21465194556205E-005</c:v>
                </c:pt>
                <c:pt idx="992">
                  <c:v>5.21465194556205E-005</c:v>
                </c:pt>
                <c:pt idx="993">
                  <c:v>5.21465194556205E-005</c:v>
                </c:pt>
                <c:pt idx="994">
                  <c:v>5.21465194556205E-005</c:v>
                </c:pt>
                <c:pt idx="995">
                  <c:v>5.21465194556205E-005</c:v>
                </c:pt>
                <c:pt idx="996">
                  <c:v>5.21465194556205E-005</c:v>
                </c:pt>
                <c:pt idx="997">
                  <c:v>5.21465194556205E-005</c:v>
                </c:pt>
                <c:pt idx="998">
                  <c:v>5.21465194556205E-005</c:v>
                </c:pt>
                <c:pt idx="999">
                  <c:v>5.21465194556205E-005</c:v>
                </c:pt>
                <c:pt idx="1000">
                  <c:v>5.21465194556205E-005</c:v>
                </c:pt>
              </c:numCache>
            </c:numRef>
          </c:yVal>
          <c:smooth val="1"/>
        </c:ser>
        <c:axId val="74040471"/>
        <c:axId val="57438170"/>
      </c:scatterChart>
      <c:valAx>
        <c:axId val="7404047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57438170"/>
        <c:crosses val="autoZero"/>
        <c:crossBetween val="midCat"/>
      </c:valAx>
      <c:valAx>
        <c:axId val="5743817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4040471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559080</xdr:colOff>
      <xdr:row>7</xdr:row>
      <xdr:rowOff>175320</xdr:rowOff>
    </xdr:from>
    <xdr:to>
      <xdr:col>11</xdr:col>
      <xdr:colOff>897480</xdr:colOff>
      <xdr:row>22</xdr:row>
      <xdr:rowOff>168120</xdr:rowOff>
    </xdr:to>
    <xdr:graphicFrame>
      <xdr:nvGraphicFramePr>
        <xdr:cNvPr id="0" name="Chart 1"/>
        <xdr:cNvGraphicFramePr/>
      </xdr:nvGraphicFramePr>
      <xdr:xfrm>
        <a:off x="11493720" y="1575360"/>
        <a:ext cx="5167440" cy="299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12"/>
  <sheetViews>
    <sheetView windowProtection="false"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6" activeCellId="0" sqref="G6"/>
    </sheetView>
  </sheetViews>
  <sheetFormatPr defaultRowHeight="15.75"/>
  <cols>
    <col collapsed="false" hidden="false" max="1" min="1" style="0" width="21.4139534883721"/>
    <col collapsed="false" hidden="false" max="3" min="2" style="0" width="17.9674418604651"/>
    <col collapsed="false" hidden="false" max="4" min="4" style="0" width="17.6"/>
    <col collapsed="false" hidden="false" max="5" min="5" style="0" width="13.293023255814"/>
    <col collapsed="false" hidden="false" max="6" min="6" style="0" width="13.4139534883721"/>
    <col collapsed="false" hidden="false" max="7" min="7" style="0" width="16.1209302325581"/>
    <col collapsed="false" hidden="false" max="8" min="8" style="0" width="23.506976744186"/>
    <col collapsed="false" hidden="false" max="9" min="9" style="0" width="15.6279069767442"/>
    <col collapsed="false" hidden="false" max="10" min="10" style="0" width="20.4279069767442"/>
    <col collapsed="false" hidden="false" max="12" min="11" style="0" width="26.3348837209302"/>
    <col collapsed="false" hidden="false" max="13" min="13" style="0" width="28.4279069767442"/>
    <col collapsed="false" hidden="false" max="1025" min="14" style="0" width="12.4279069767442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.75" hidden="false" customHeight="false" outlineLevel="0" collapsed="false">
      <c r="A2" s="0" t="s">
        <v>13</v>
      </c>
      <c r="B2" s="0" t="s">
        <v>14</v>
      </c>
      <c r="C2" s="0" t="n">
        <f aca="false">365*86400*4468000000</f>
        <v>1.40902848E+017</v>
      </c>
      <c r="D2" s="0" t="n">
        <f aca="false">LN(2)/C2</f>
        <v>4.91932697172981E-018</v>
      </c>
      <c r="E2" s="0" t="n">
        <f aca="false">LOG10(D2)</f>
        <v>-17.3080943103338</v>
      </c>
      <c r="F2" s="0" t="n">
        <v>238</v>
      </c>
      <c r="G2" s="0" t="n">
        <v>8</v>
      </c>
      <c r="H2" s="0" t="n">
        <f aca="false">1/F2</f>
        <v>0.00420168067226891</v>
      </c>
      <c r="I2" s="0" t="n">
        <v>19.1</v>
      </c>
      <c r="J2" s="0" t="n">
        <f aca="false">H2*F2/I2/1000000</f>
        <v>5.23560209424084E-008</v>
      </c>
      <c r="K2" s="0" t="n">
        <f aca="false">D2*86400*H2/1000</f>
        <v>1.78583970738427E-018</v>
      </c>
      <c r="L2" s="0" t="n">
        <f aca="false">D2*H2*G2</f>
        <v>1.65355528461506E-019</v>
      </c>
      <c r="M2" s="0" t="n">
        <f aca="false">L2*86400*365</f>
        <v>5.21465194556206E-012</v>
      </c>
    </row>
    <row r="3" customFormat="false" ht="15.75" hidden="false" customHeight="false" outlineLevel="0" collapsed="false">
      <c r="A3" s="0" t="s">
        <v>15</v>
      </c>
      <c r="C3" s="0" t="n">
        <f aca="false">365*86400*703800000</f>
        <v>22195036800000000</v>
      </c>
      <c r="D3" s="0" t="n">
        <f aca="false">LN(2)/C3</f>
        <v>3.12298279478386E-017</v>
      </c>
      <c r="E3" s="0" t="n">
        <f aca="false">LOG10(D3)</f>
        <v>-16.5054304083894</v>
      </c>
      <c r="F3" s="0" t="n">
        <v>235</v>
      </c>
      <c r="G3" s="0" t="n">
        <v>7</v>
      </c>
      <c r="H3" s="0" t="n">
        <f aca="false">1/F3</f>
        <v>0.00425531914893617</v>
      </c>
      <c r="I3" s="0" t="n">
        <v>19.1</v>
      </c>
      <c r="J3" s="0" t="n">
        <f aca="false">H3*F3/I3/1000000</f>
        <v>5.23560209424084E-008</v>
      </c>
      <c r="K3" s="0" t="n">
        <f aca="false">D3*86400*H3/1000</f>
        <v>1.14819452540138E-017</v>
      </c>
      <c r="L3" s="0" t="n">
        <f aca="false">D3*H3*G3</f>
        <v>9.30250194190936E-019</v>
      </c>
      <c r="M3" s="0" t="n">
        <f aca="false">L3*86400*365</f>
        <v>2.93363701240054E-011</v>
      </c>
    </row>
    <row r="4" customFormat="false" ht="15.75" hidden="false" customHeight="false" outlineLevel="0" collapsed="false">
      <c r="A4" s="1" t="s">
        <v>16</v>
      </c>
      <c r="B4" s="1"/>
      <c r="C4" s="0" t="n">
        <f aca="false">365*86400*14000000000</f>
        <v>4.41504E+017</v>
      </c>
      <c r="D4" s="0" t="n">
        <f aca="false">LN(2)/C4</f>
        <v>1.56996806497777E-018</v>
      </c>
      <c r="E4" s="0" t="n">
        <f aca="false">LOG10(D4)</f>
        <v>-17.8041091815685</v>
      </c>
      <c r="F4" s="0" t="n">
        <v>232</v>
      </c>
      <c r="G4" s="0" t="n">
        <v>6</v>
      </c>
      <c r="H4" s="0" t="n">
        <f aca="false">1/F4</f>
        <v>0.00431034482758621</v>
      </c>
      <c r="I4" s="0" t="n">
        <v>11.7</v>
      </c>
      <c r="J4" s="0" t="n">
        <f aca="false">H4*F4/I4/1000000</f>
        <v>8.54700854700855E-008</v>
      </c>
      <c r="K4" s="0" t="n">
        <f aca="false">D4*86400*H4/1000</f>
        <v>5.84677762129652E-019</v>
      </c>
      <c r="L4" s="0" t="n">
        <f aca="false">D4*H4*G4</f>
        <v>4.06026223701147E-020</v>
      </c>
      <c r="M4" s="0" t="n">
        <f aca="false">L4*86400*365</f>
        <v>1.28044429906394E-012</v>
      </c>
    </row>
    <row r="5" customFormat="false" ht="15.75" hidden="false" customHeight="false" outlineLevel="0" collapsed="false">
      <c r="L5" s="0" t="s">
        <v>17</v>
      </c>
      <c r="M5" s="0" t="n">
        <f aca="false">SUM(M2:M4)</f>
        <v>3.58314663686314E-011</v>
      </c>
    </row>
    <row r="7" customFormat="false" ht="15.75" hidden="false" customHeight="false" outlineLevel="0" collapsed="false">
      <c r="D7" s="2"/>
      <c r="E7" s="2"/>
    </row>
    <row r="8" customFormat="false" ht="15.75" hidden="false" customHeight="false" outlineLevel="0" collapsed="false">
      <c r="B8" s="0" t="s">
        <v>18</v>
      </c>
      <c r="C8" s="0" t="s">
        <v>19</v>
      </c>
      <c r="D8" s="3" t="n">
        <f aca="false">M2</f>
        <v>5.21465194556206E-012</v>
      </c>
      <c r="E8" s="3" t="n">
        <f aca="false">M2</f>
        <v>5.21465194556206E-012</v>
      </c>
      <c r="F8" s="3" t="n">
        <f aca="false">M2</f>
        <v>5.21465194556206E-012</v>
      </c>
      <c r="G8" s="0" t="n">
        <f aca="false">M2</f>
        <v>5.21465194556206E-012</v>
      </c>
      <c r="H8" s="0" t="n">
        <f aca="false">M2</f>
        <v>5.21465194556206E-012</v>
      </c>
    </row>
    <row r="9" customFormat="false" ht="15.75" hidden="false" customHeight="false" outlineLevel="0" collapsed="false">
      <c r="B9" s="0" t="s">
        <v>20</v>
      </c>
      <c r="C9" s="0" t="s">
        <v>21</v>
      </c>
      <c r="D9" s="2" t="n">
        <v>1E-007</v>
      </c>
      <c r="E9" s="2" t="n">
        <v>5E-007</v>
      </c>
      <c r="F9" s="2" t="n">
        <v>1E-006</v>
      </c>
      <c r="G9" s="2" t="n">
        <v>1E-006</v>
      </c>
      <c r="H9" s="2" t="n">
        <v>1E-006</v>
      </c>
    </row>
    <row r="10" customFormat="false" ht="15.75" hidden="false" customHeight="false" outlineLevel="0" collapsed="false">
      <c r="C10" s="0" t="s">
        <v>22</v>
      </c>
      <c r="D10" s="2" t="n">
        <v>100000000</v>
      </c>
      <c r="E10" s="2" t="n">
        <v>100000000</v>
      </c>
      <c r="F10" s="2" t="n">
        <v>100000000</v>
      </c>
      <c r="G10" s="2" t="n">
        <v>50000000</v>
      </c>
      <c r="H10" s="2" t="n">
        <v>10000000</v>
      </c>
    </row>
    <row r="11" customFormat="false" ht="15.75" hidden="false" customHeight="false" outlineLevel="0" collapsed="false">
      <c r="B11" s="0" t="s">
        <v>23</v>
      </c>
      <c r="C11" s="0" t="s">
        <v>24</v>
      </c>
      <c r="D11" s="0" t="s">
        <v>25</v>
      </c>
      <c r="E11" s="0" t="s">
        <v>25</v>
      </c>
    </row>
    <row r="12" customFormat="false" ht="15.75" hidden="false" customHeight="false" outlineLevel="0" collapsed="false">
      <c r="C12" s="0" t="n">
        <v>0</v>
      </c>
      <c r="D12" s="3" t="n">
        <f aca="false">D$8*D$10*(1-EXP(-2*$C12/SQRT(PI()*D$9*D$10)))</f>
        <v>0</v>
      </c>
      <c r="E12" s="3" t="n">
        <f aca="false">E$8*E$10*(1-EXP(-2*$C12/SQRT(PI()*E$9*E$10)))</f>
        <v>0</v>
      </c>
      <c r="F12" s="3" t="n">
        <f aca="false">F$8*F$10*(1-EXP(-2*$C12/SQRT(PI()*F$9*F$10)))</f>
        <v>0</v>
      </c>
      <c r="G12" s="3" t="n">
        <f aca="false">G$8*G$10*(1-EXP(-2*$C12/SQRT(PI()*G$9*G$10)))</f>
        <v>0</v>
      </c>
      <c r="H12" s="3" t="n">
        <f aca="false">H$8*H$10*(1-EXP(-2*$C12/SQRT(PI()*H$9*H$10)))</f>
        <v>0</v>
      </c>
    </row>
    <row r="13" customFormat="false" ht="15.75" hidden="false" customHeight="false" outlineLevel="0" collapsed="false">
      <c r="C13" s="0" t="n">
        <v>0.1</v>
      </c>
      <c r="D13" s="3" t="n">
        <f aca="false">D$8*D$10*(1-EXP(-2*$C13/SQRT(PI()*D$9*D$10)))</f>
        <v>1.82791111242823E-005</v>
      </c>
      <c r="E13" s="3" t="n">
        <f aca="false">E$8*E$10*(1-EXP(-2*$C13/SQRT(PI()*E$9*E$10)))</f>
        <v>8.2553373098565E-006</v>
      </c>
      <c r="F13" s="3" t="n">
        <f aca="false">F$8*F$10*(1-EXP(-2*$C13/SQRT(PI()*F$9*F$10)))</f>
        <v>5.85103162681579E-006</v>
      </c>
      <c r="G13" s="3" t="n">
        <f aca="false">G$8*G$10*(1-EXP(-2*$C13/SQRT(PI()*G$9*G$10)))</f>
        <v>4.12766865492825E-006</v>
      </c>
      <c r="H13" s="3" t="n">
        <f aca="false">H$8*H$10*(1-EXP(-2*$C13/SQRT(PI()*H$9*H$10)))</f>
        <v>1.82791111242823E-006</v>
      </c>
    </row>
    <row r="14" customFormat="false" ht="15.75" hidden="false" customHeight="false" outlineLevel="0" collapsed="false">
      <c r="C14" s="0" t="n">
        <v>0.2</v>
      </c>
      <c r="D14" s="3" t="n">
        <f aca="false">D$8*D$10*(1-EXP(-2*$C14/SQRT(PI()*D$9*D$10)))</f>
        <v>3.5917477848014E-005</v>
      </c>
      <c r="E14" s="3" t="n">
        <f aca="false">E$8*E$10*(1-EXP(-2*$C14/SQRT(PI()*E$9*E$10)))</f>
        <v>1.63799840294091E-005</v>
      </c>
      <c r="F14" s="3" t="n">
        <f aca="false">F$8*F$10*(1-EXP(-2*$C14/SQRT(PI()*F$9*F$10)))</f>
        <v>1.16364125228534E-005</v>
      </c>
      <c r="G14" s="3" t="n">
        <f aca="false">G$8*G$10*(1-EXP(-2*$C14/SQRT(PI()*G$9*G$10)))</f>
        <v>8.18999201470453E-006</v>
      </c>
      <c r="H14" s="3" t="n">
        <f aca="false">H$8*H$10*(1-EXP(-2*$C14/SQRT(PI()*H$9*H$10)))</f>
        <v>3.5917477848014E-006</v>
      </c>
    </row>
    <row r="15" customFormat="false" ht="15.75" hidden="false" customHeight="false" outlineLevel="0" collapsed="false">
      <c r="C15" s="0" t="n">
        <v>0.3</v>
      </c>
      <c r="D15" s="3" t="n">
        <f aca="false">D$8*D$10*(1-EXP(-2*$C15/SQRT(PI()*D$9*D$10)))</f>
        <v>5.29375604201673E-005</v>
      </c>
      <c r="E15" s="3" t="n">
        <f aca="false">E$8*E$10*(1-EXP(-2*$C15/SQRT(PI()*E$9*E$10)))</f>
        <v>2.43760091268601E-005</v>
      </c>
      <c r="F15" s="3" t="n">
        <f aca="false">F$8*F$10*(1-EXP(-2*$C15/SQRT(PI()*F$9*F$10)))</f>
        <v>1.73568793135024E-005</v>
      </c>
      <c r="G15" s="3" t="n">
        <f aca="false">G$8*G$10*(1-EXP(-2*$C15/SQRT(PI()*G$9*G$10)))</f>
        <v>1.218800456343E-005</v>
      </c>
      <c r="H15" s="3" t="n">
        <f aca="false">H$8*H$10*(1-EXP(-2*$C15/SQRT(PI()*H$9*H$10)))</f>
        <v>5.29375604201673E-006</v>
      </c>
    </row>
    <row r="16" customFormat="false" ht="15.75" hidden="false" customHeight="false" outlineLevel="0" collapsed="false">
      <c r="C16" s="0" t="n">
        <v>0.4</v>
      </c>
      <c r="D16" s="3" t="n">
        <f aca="false">D$8*D$10*(1-EXP(-2*$C16/SQRT(PI()*D$9*D$10)))</f>
        <v>6.93610317823516E-005</v>
      </c>
      <c r="E16" s="3" t="n">
        <f aca="false">E$8*E$10*(1-EXP(-2*$C16/SQRT(PI()*E$9*E$10)))</f>
        <v>3.22454488164897E-005</v>
      </c>
      <c r="F16" s="3" t="n">
        <f aca="false">F$8*F$10*(1-EXP(-2*$C16/SQRT(PI()*F$9*F$10)))</f>
        <v>2.30131603589442E-005</v>
      </c>
      <c r="G16" s="3" t="n">
        <f aca="false">G$8*G$10*(1-EXP(-2*$C16/SQRT(PI()*G$9*G$10)))</f>
        <v>1.61227244082449E-005</v>
      </c>
      <c r="H16" s="3" t="n">
        <f aca="false">H$8*H$10*(1-EXP(-2*$C16/SQRT(PI()*H$9*H$10)))</f>
        <v>6.93610317823516E-006</v>
      </c>
    </row>
    <row r="17" customFormat="false" ht="15.75" hidden="false" customHeight="false" outlineLevel="0" collapsed="false">
      <c r="C17" s="0" t="n">
        <v>0.5</v>
      </c>
      <c r="D17" s="3" t="n">
        <f aca="false">D$8*D$10*(1-EXP(-2*$C17/SQRT(PI()*D$9*D$10)))</f>
        <v>8.52088051665887E-005</v>
      </c>
      <c r="E17" s="3" t="n">
        <f aca="false">E$8*E$10*(1-EXP(-2*$C17/SQRT(PI()*E$9*E$10)))</f>
        <v>3.99903070771848E-005</v>
      </c>
      <c r="F17" s="3" t="n">
        <f aca="false">F$8*F$10*(1-EXP(-2*$C17/SQRT(PI()*F$9*F$10)))</f>
        <v>2.86059758468904E-005</v>
      </c>
      <c r="G17" s="3" t="n">
        <f aca="false">G$8*G$10*(1-EXP(-2*$C17/SQRT(PI()*G$9*G$10)))</f>
        <v>1.99951535385924E-005</v>
      </c>
      <c r="H17" s="3" t="n">
        <f aca="false">H$8*H$10*(1-EXP(-2*$C17/SQRT(PI()*H$9*H$10)))</f>
        <v>8.52088051665888E-006</v>
      </c>
    </row>
    <row r="18" customFormat="false" ht="15.75" hidden="false" customHeight="false" outlineLevel="0" collapsed="false">
      <c r="C18" s="0" t="n">
        <v>0.6</v>
      </c>
      <c r="D18" s="3" t="n">
        <f aca="false">D$8*D$10*(1-EXP(-2*$C18/SQRT(PI()*D$9*D$10)))</f>
        <v>0.000100501060725692</v>
      </c>
      <c r="E18" s="3" t="n">
        <f aca="false">E$8*E$10*(1-EXP(-2*$C18/SQRT(PI()*E$9*E$10)))</f>
        <v>4.76125561627585E-005</v>
      </c>
      <c r="F18" s="3" t="n">
        <f aca="false">F$8*F$10*(1-EXP(-2*$C18/SQRT(PI()*F$9*F$10)))</f>
        <v>3.41360378842812E-005</v>
      </c>
      <c r="G18" s="3" t="n">
        <f aca="false">G$8*G$10*(1-EXP(-2*$C18/SQRT(PI()*G$9*G$10)))</f>
        <v>2.38062780813792E-005</v>
      </c>
      <c r="H18" s="3" t="n">
        <f aca="false">H$8*H$10*(1-EXP(-2*$C18/SQRT(PI()*H$9*H$10)))</f>
        <v>1.00501060725692E-005</v>
      </c>
    </row>
    <row r="19" customFormat="false" ht="15.75" hidden="false" customHeight="false" outlineLevel="0" collapsed="false">
      <c r="C19" s="0" t="n">
        <v>0.7</v>
      </c>
      <c r="D19" s="3" t="n">
        <f aca="false">D$8*D$10*(1-EXP(-2*$C19/SQRT(PI()*D$9*D$10)))</f>
        <v>0.000115257271230161</v>
      </c>
      <c r="E19" s="3" t="n">
        <f aca="false">E$8*E$10*(1-EXP(-2*$C19/SQRT(PI()*E$9*E$10)))</f>
        <v>5.51141371041912E-005</v>
      </c>
      <c r="F19" s="3" t="n">
        <f aca="false">F$8*F$10*(1-EXP(-2*$C19/SQRT(PI()*F$9*F$10)))</f>
        <v>3.96040505879547E-005</v>
      </c>
      <c r="G19" s="3" t="n">
        <f aca="false">G$8*G$10*(1-EXP(-2*$C19/SQRT(PI()*G$9*G$10)))</f>
        <v>2.75570685520956E-005</v>
      </c>
      <c r="H19" s="3" t="n">
        <f aca="false">H$8*H$10*(1-EXP(-2*$C19/SQRT(PI()*H$9*H$10)))</f>
        <v>1.15257271230161E-005</v>
      </c>
    </row>
    <row r="20" customFormat="false" ht="15.75" hidden="false" customHeight="false" outlineLevel="0" collapsed="false">
      <c r="C20" s="0" t="n">
        <v>0.8</v>
      </c>
      <c r="D20" s="3" t="n">
        <f aca="false">D$8*D$10*(1-EXP(-2*$C20/SQRT(PI()*D$9*D$10)))</f>
        <v>0.000129496226864314</v>
      </c>
      <c r="E20" s="3" t="n">
        <f aca="false">E$8*E$10*(1-EXP(-2*$C20/SQRT(PI()*E$9*E$10)))</f>
        <v>6.2496960203921E-005</v>
      </c>
      <c r="F20" s="3" t="n">
        <f aca="false">F$8*F$10*(1-EXP(-2*$C20/SQRT(PI()*F$9*F$10)))</f>
        <v>4.50107101742983E-005</v>
      </c>
      <c r="G20" s="3" t="n">
        <f aca="false">G$8*G$10*(1-EXP(-2*$C20/SQRT(PI()*G$9*G$10)))</f>
        <v>3.12484801019605E-005</v>
      </c>
      <c r="H20" s="3" t="n">
        <f aca="false">H$8*H$10*(1-EXP(-2*$C20/SQRT(PI()*H$9*H$10)))</f>
        <v>1.29496226864314E-005</v>
      </c>
    </row>
    <row r="21" customFormat="false" ht="15.75" hidden="false" customHeight="false" outlineLevel="0" collapsed="false">
      <c r="C21" s="0" t="n">
        <v>0.9</v>
      </c>
      <c r="D21" s="3" t="n">
        <f aca="false">D$8*D$10*(1-EXP(-2*$C21/SQRT(PI()*D$9*D$10)))</f>
        <v>0.000143236059153232</v>
      </c>
      <c r="E21" s="3" t="n">
        <f aca="false">E$8*E$10*(1-EXP(-2*$C21/SQRT(PI()*E$9*E$10)))</f>
        <v>6.97629055223079E-005</v>
      </c>
      <c r="F21" s="3" t="n">
        <f aca="false">F$8*F$10*(1-EXP(-2*$C21/SQRT(PI()*F$9*F$10)))</f>
        <v>5.03567050478953E-005</v>
      </c>
      <c r="G21" s="3" t="n">
        <f aca="false">G$8*G$10*(1-EXP(-2*$C21/SQRT(PI()*G$9*G$10)))</f>
        <v>3.48814527611539E-005</v>
      </c>
      <c r="H21" s="3" t="n">
        <f aca="false">H$8*H$10*(1-EXP(-2*$C21/SQRT(PI()*H$9*H$10)))</f>
        <v>1.43236059153232E-005</v>
      </c>
    </row>
    <row r="22" customFormat="false" ht="15.75" hidden="false" customHeight="false" outlineLevel="0" collapsed="false">
      <c r="C22" s="0" t="n">
        <v>1</v>
      </c>
      <c r="D22" s="3" t="n">
        <f aca="false">D$8*D$10*(1-EXP(-2*$C22/SQRT(PI()*D$9*D$10)))</f>
        <v>0.000156494264050984</v>
      </c>
      <c r="E22" s="3" t="n">
        <f aca="false">E$8*E$10*(1-EXP(-2*$C22/SQRT(PI()*E$9*E$10)))</f>
        <v>7.69138233563978E-005</v>
      </c>
      <c r="F22" s="3" t="n">
        <f aca="false">F$8*F$10*(1-EXP(-2*$C22/SQRT(PI()*F$9*F$10)))</f>
        <v>5.56427158891758E-005</v>
      </c>
      <c r="G22" s="3" t="n">
        <f aca="false">G$8*G$10*(1-EXP(-2*$C22/SQRT(PI()*G$9*G$10)))</f>
        <v>3.84569116781989E-005</v>
      </c>
      <c r="H22" s="3" t="n">
        <f aca="false">H$8*H$10*(1-EXP(-2*$C22/SQRT(PI()*H$9*H$10)))</f>
        <v>1.56494264050984E-005</v>
      </c>
    </row>
    <row r="23" customFormat="false" ht="15.75" hidden="false" customHeight="false" outlineLevel="0" collapsed="false">
      <c r="C23" s="0" t="n">
        <v>1.1</v>
      </c>
      <c r="D23" s="3" t="n">
        <f aca="false">D$8*D$10*(1-EXP(-2*$C23/SQRT(PI()*D$9*D$10)))</f>
        <v>0.000169287724219529</v>
      </c>
      <c r="E23" s="3" t="n">
        <f aca="false">E$8*E$10*(1-EXP(-2*$C23/SQRT(PI()*E$9*E$10)))</f>
        <v>8.39515347111066E-005</v>
      </c>
      <c r="F23" s="3" t="n">
        <f aca="false">F$8*F$10*(1-EXP(-2*$C23/SQRT(PI()*F$9*F$10)))</f>
        <v>6.08694157410846E-005</v>
      </c>
      <c r="G23" s="3" t="n">
        <f aca="false">G$8*G$10*(1-EXP(-2*$C23/SQRT(PI()*G$9*G$10)))</f>
        <v>4.19757673555533E-005</v>
      </c>
      <c r="H23" s="3" t="n">
        <f aca="false">H$8*H$10*(1-EXP(-2*$C23/SQRT(PI()*H$9*H$10)))</f>
        <v>1.69287724219529E-005</v>
      </c>
    </row>
    <row r="24" customFormat="false" ht="15.75" hidden="false" customHeight="false" outlineLevel="0" collapsed="false">
      <c r="C24" s="0" t="n">
        <v>1.2</v>
      </c>
      <c r="D24" s="3" t="n">
        <f aca="false">D$8*D$10*(1-EXP(-2*$C24/SQRT(PI()*D$9*D$10)))</f>
        <v>0.000181632730526674</v>
      </c>
      <c r="E24" s="3" t="n">
        <f aca="false">E$8*E$10*(1-EXP(-2*$C24/SQRT(PI()*E$9*E$10)))</f>
        <v>9.08778317629452E-005</v>
      </c>
      <c r="F24" s="3" t="n">
        <f aca="false">F$8*F$10*(1-EXP(-2*$C24/SQRT(PI()*F$9*F$10)))</f>
        <v>6.60374700947767E-005</v>
      </c>
      <c r="G24" s="3" t="n">
        <f aca="false">G$8*G$10*(1-EXP(-2*$C24/SQRT(PI()*G$9*G$10)))</f>
        <v>4.54389158814726E-005</v>
      </c>
      <c r="H24" s="3" t="n">
        <f aca="false">H$8*H$10*(1-EXP(-2*$C24/SQRT(PI()*H$9*H$10)))</f>
        <v>1.81632730526674E-005</v>
      </c>
    </row>
    <row r="25" customFormat="false" ht="15.75" hidden="false" customHeight="false" outlineLevel="0" collapsed="false">
      <c r="C25" s="0" t="n">
        <v>1.3</v>
      </c>
      <c r="D25" s="3" t="n">
        <f aca="false">D$8*D$10*(1-EXP(-2*$C25/SQRT(PI()*D$9*D$10)))</f>
        <v>0.000193545002790446</v>
      </c>
      <c r="E25" s="3" t="n">
        <f aca="false">E$8*E$10*(1-EXP(-2*$C25/SQRT(PI()*E$9*E$10)))</f>
        <v>9.76944783164033E-005</v>
      </c>
      <c r="F25" s="3" t="n">
        <f aca="false">F$8*F$10*(1-EXP(-2*$C25/SQRT(PI()*F$9*F$10)))</f>
        <v>7.11475369743512E-005</v>
      </c>
      <c r="G25" s="3" t="n">
        <f aca="false">G$8*G$10*(1-EXP(-2*$C25/SQRT(PI()*G$9*G$10)))</f>
        <v>4.88472391582017E-005</v>
      </c>
      <c r="H25" s="3" t="n">
        <f aca="false">H$8*H$10*(1-EXP(-2*$C25/SQRT(PI()*H$9*H$10)))</f>
        <v>1.93545002790446E-005</v>
      </c>
    </row>
    <row r="26" customFormat="false" ht="15.75" hidden="false" customHeight="false" outlineLevel="0" collapsed="false">
      <c r="C26" s="0" t="n">
        <v>1.4</v>
      </c>
      <c r="D26" s="3" t="n">
        <f aca="false">D$8*D$10*(1-EXP(-2*$C26/SQRT(PI()*D$9*D$10)))</f>
        <v>0.000205039709796315</v>
      </c>
      <c r="E26" s="3" t="n">
        <f aca="false">E$8*E$10*(1-EXP(-2*$C26/SQRT(PI()*E$9*E$10)))</f>
        <v>0.000104403210253108</v>
      </c>
      <c r="F26" s="3" t="n">
        <f aca="false">F$8*F$10*(1-EXP(-2*$C26/SQRT(PI()*F$9*F$10)))</f>
        <v>7.62002670206343E-005</v>
      </c>
      <c r="G26" s="3" t="n">
        <f aca="false">G$8*G$10*(1-EXP(-2*$C26/SQRT(PI()*G$9*G$10)))</f>
        <v>5.22016051265539E-005</v>
      </c>
      <c r="H26" s="3" t="n">
        <f aca="false">H$8*H$10*(1-EXP(-2*$C26/SQRT(PI()*H$9*H$10)))</f>
        <v>2.05039709796315E-005</v>
      </c>
    </row>
    <row r="27" customFormat="false" ht="15.75" hidden="false" customHeight="false" outlineLevel="0" collapsed="false">
      <c r="C27" s="0" t="n">
        <v>1.5</v>
      </c>
      <c r="D27" s="3" t="n">
        <f aca="false">D$8*D$10*(1-EXP(-2*$C27/SQRT(PI()*D$9*D$10)))</f>
        <v>0.000216131488612739</v>
      </c>
      <c r="E27" s="3" t="n">
        <f aca="false">E$8*E$10*(1-EXP(-2*$C27/SQRT(PI()*E$9*E$10)))</f>
        <v>0.000111005735973871</v>
      </c>
      <c r="F27" s="3" t="n">
        <f aca="false">F$8*F$10*(1-EXP(-2*$C27/SQRT(PI()*F$9*F$10)))</f>
        <v>8.11963035740225E-005</v>
      </c>
      <c r="G27" s="3" t="n">
        <f aca="false">G$8*G$10*(1-EXP(-2*$C27/SQRT(PI()*G$9*G$10)))</f>
        <v>5.55028679869355E-005</v>
      </c>
      <c r="H27" s="3" t="n">
        <f aca="false">H$8*H$10*(1-EXP(-2*$C27/SQRT(PI()*H$9*H$10)))</f>
        <v>2.16131488612739E-005</v>
      </c>
    </row>
    <row r="28" customFormat="false" ht="15.75" hidden="false" customHeight="false" outlineLevel="0" collapsed="false">
      <c r="C28" s="0" t="n">
        <v>1.6</v>
      </c>
      <c r="D28" s="3" t="n">
        <f aca="false">D$8*D$10*(1-EXP(-2*$C28/SQRT(PI()*D$9*D$10)))</f>
        <v>0.000226834463229635</v>
      </c>
      <c r="E28" s="3" t="n">
        <f aca="false">E$8*E$10*(1-EXP(-2*$C28/SQRT(PI()*E$9*E$10)))</f>
        <v>0.000117503736833741</v>
      </c>
      <c r="F28" s="3" t="n">
        <f aca="false">F$8*F$10*(1-EXP(-2*$C28/SQRT(PI()*F$9*F$10)))</f>
        <v>8.61362827563957E-005</v>
      </c>
      <c r="G28" s="3" t="n">
        <f aca="false">G$8*G$10*(1-EXP(-2*$C28/SQRT(PI()*G$9*G$10)))</f>
        <v>5.87518684168703E-005</v>
      </c>
      <c r="H28" s="3" t="n">
        <f aca="false">H$8*H$10*(1-EXP(-2*$C28/SQRT(PI()*H$9*H$10)))</f>
        <v>2.26834463229635E-005</v>
      </c>
    </row>
    <row r="29" customFormat="false" ht="15.75" hidden="false" customHeight="false" outlineLevel="0" collapsed="false">
      <c r="C29" s="0" t="n">
        <v>1.7</v>
      </c>
      <c r="D29" s="3" t="n">
        <f aca="false">D$8*D$10*(1-EXP(-2*$C29/SQRT(PI()*D$9*D$10)))</f>
        <v>0.000237162262543509</v>
      </c>
      <c r="E29" s="3" t="n">
        <f aca="false">E$8*E$10*(1-EXP(-2*$C29/SQRT(PI()*E$9*E$10)))</f>
        <v>0.000123898867570162</v>
      </c>
      <c r="F29" s="3" t="n">
        <f aca="false">F$8*F$10*(1-EXP(-2*$C29/SQRT(PI()*F$9*F$10)))</f>
        <v>9.10208335521122E-005</v>
      </c>
      <c r="G29" s="3" t="n">
        <f aca="false">G$8*G$10*(1-EXP(-2*$C29/SQRT(PI()*G$9*G$10)))</f>
        <v>6.19494337850809E-005</v>
      </c>
      <c r="H29" s="3" t="n">
        <f aca="false">H$8*H$10*(1-EXP(-2*$C29/SQRT(PI()*H$9*H$10)))</f>
        <v>2.37162262543509E-005</v>
      </c>
    </row>
    <row r="30" customFormat="false" ht="15.75" hidden="false" customHeight="false" outlineLevel="0" collapsed="false">
      <c r="C30" s="0" t="n">
        <v>1.8</v>
      </c>
      <c r="D30" s="3" t="n">
        <f aca="false">D$8*D$10*(1-EXP(-2*$C30/SQRT(PI()*D$9*D$10)))</f>
        <v>0.000247128037712151</v>
      </c>
      <c r="E30" s="3" t="n">
        <f aca="false">E$8*E$10*(1-EXP(-2*$C30/SQRT(PI()*E$9*E$10)))</f>
        <v>0.000130192756724363</v>
      </c>
      <c r="F30" s="3" t="n">
        <f aca="false">F$8*F$10*(1-EXP(-2*$C30/SQRT(PI()*F$9*F$10)))</f>
        <v>9.5850577888094E-005</v>
      </c>
      <c r="G30" s="3" t="n">
        <f aca="false">G$8*G$10*(1-EXP(-2*$C30/SQRT(PI()*G$9*G$10)))</f>
        <v>6.50963783621813E-005</v>
      </c>
      <c r="H30" s="3" t="n">
        <f aca="false">H$8*H$10*(1-EXP(-2*$C30/SQRT(PI()*H$9*H$10)))</f>
        <v>2.47128037712151E-005</v>
      </c>
    </row>
    <row r="31" customFormat="false" ht="15.75" hidden="false" customHeight="false" outlineLevel="0" collapsed="false">
      <c r="C31" s="0" t="n">
        <v>1.9</v>
      </c>
      <c r="D31" s="3" t="n">
        <f aca="false">D$8*D$10*(1-EXP(-2*$C31/SQRT(PI()*D$9*D$10)))</f>
        <v>0.000256744478900982</v>
      </c>
      <c r="E31" s="3" t="n">
        <f aca="false">E$8*E$10*(1-EXP(-2*$C31/SQRT(PI()*E$9*E$10)))</f>
        <v>0.000136387007056066</v>
      </c>
      <c r="F31" s="3" t="n">
        <f aca="false">F$8*F$10*(1-EXP(-2*$C31/SQRT(PI()*F$9*F$10)))</f>
        <v>0.000100626130713014</v>
      </c>
      <c r="G31" s="3" t="n">
        <f aca="false">G$8*G$10*(1-EXP(-2*$C31/SQRT(PI()*G$9*G$10)))</f>
        <v>6.81935035280332E-005</v>
      </c>
      <c r="H31" s="3" t="n">
        <f aca="false">H$8*H$10*(1-EXP(-2*$C31/SQRT(PI()*H$9*H$10)))</f>
        <v>2.56744478900982E-005</v>
      </c>
    </row>
    <row r="32" customFormat="false" ht="15.75" hidden="false" customHeight="false" outlineLevel="0" collapsed="false">
      <c r="C32" s="0" t="n">
        <v>2</v>
      </c>
      <c r="D32" s="3" t="n">
        <f aca="false">D$8*D$10*(1-EXP(-2*$C32/SQRT(PI()*D$9*D$10)))</f>
        <v>0.000266023831442391</v>
      </c>
      <c r="E32" s="3" t="n">
        <f aca="false">E$8*E$10*(1-EXP(-2*$C32/SQRT(PI()*E$9*E$10)))</f>
        <v>0.00014248319595164</v>
      </c>
      <c r="F32" s="3" t="n">
        <f aca="false">F$8*F$10*(1-EXP(-2*$C32/SQRT(PI()*F$9*F$10)))</f>
        <v>0.000105348100075593</v>
      </c>
      <c r="G32" s="3" t="n">
        <f aca="false">G$8*G$10*(1-EXP(-2*$C32/SQRT(PI()*G$9*G$10)))</f>
        <v>7.12415979758201E-005</v>
      </c>
      <c r="H32" s="3" t="n">
        <f aca="false">H$8*H$10*(1-EXP(-2*$C32/SQRT(PI()*H$9*H$10)))</f>
        <v>2.66023831442391E-005</v>
      </c>
    </row>
    <row r="33" customFormat="false" ht="15.75" hidden="false" customHeight="false" outlineLevel="0" collapsed="false">
      <c r="C33" s="0" t="n">
        <v>2.1</v>
      </c>
      <c r="D33" s="3" t="n">
        <f aca="false">D$8*D$10*(1-EXP(-2*$C33/SQRT(PI()*D$9*D$10)))</f>
        <v>0.000274977911428629</v>
      </c>
      <c r="E33" s="3" t="n">
        <f aca="false">E$8*E$10*(1-EXP(-2*$C33/SQRT(PI()*E$9*E$10)))</f>
        <v>0.000148482875825782</v>
      </c>
      <c r="F33" s="3" t="n">
        <f aca="false">F$8*F$10*(1-EXP(-2*$C33/SQRT(PI()*F$9*F$10)))</f>
        <v>0.000110017087202024</v>
      </c>
      <c r="G33" s="3" t="n">
        <f aca="false">G$8*G$10*(1-EXP(-2*$C33/SQRT(PI()*G$9*G$10)))</f>
        <v>7.4241437912891E-005</v>
      </c>
      <c r="H33" s="3" t="n">
        <f aca="false">H$8*H$10*(1-EXP(-2*$C33/SQRT(PI()*H$9*H$10)))</f>
        <v>2.74977911428629E-005</v>
      </c>
    </row>
    <row r="34" customFormat="false" ht="15.75" hidden="false" customHeight="false" outlineLevel="0" collapsed="false">
      <c r="C34" s="0" t="n">
        <v>2.2</v>
      </c>
      <c r="D34" s="3" t="n">
        <f aca="false">D$8*D$10*(1-EXP(-2*$C34/SQRT(PI()*D$9*D$10)))</f>
        <v>0.000283618120758124</v>
      </c>
      <c r="E34" s="3" t="n">
        <f aca="false">E$8*E$10*(1-EXP(-2*$C34/SQRT(PI()*E$9*E$10)))</f>
        <v>0.000154387574516847</v>
      </c>
      <c r="F34" s="3" t="n">
        <f aca="false">F$8*F$10*(1-EXP(-2*$C34/SQRT(PI()*F$9*F$10)))</f>
        <v>0.000114633686572518</v>
      </c>
      <c r="G34" s="3" t="n">
        <f aca="false">G$8*G$10*(1-EXP(-2*$C34/SQRT(PI()*G$9*G$10)))</f>
        <v>7.71937872584235E-005</v>
      </c>
      <c r="H34" s="3" t="n">
        <f aca="false">H$8*H$10*(1-EXP(-2*$C34/SQRT(PI()*H$9*H$10)))</f>
        <v>2.83618120758124E-005</v>
      </c>
    </row>
    <row r="35" customFormat="false" ht="15.75" hidden="false" customHeight="false" outlineLevel="0" collapsed="false">
      <c r="C35" s="0" t="n">
        <v>2.3</v>
      </c>
      <c r="D35" s="3" t="n">
        <f aca="false">D$8*D$10*(1-EXP(-2*$C35/SQRT(PI()*D$9*D$10)))</f>
        <v>0.000291955461654367</v>
      </c>
      <c r="E35" s="3" t="n">
        <f aca="false">E$8*E$10*(1-EXP(-2*$C35/SQRT(PI()*E$9*E$10)))</f>
        <v>0.000160198795675918</v>
      </c>
      <c r="F35" s="3" t="n">
        <f aca="false">F$8*F$10*(1-EXP(-2*$C35/SQRT(PI()*F$9*F$10)))</f>
        <v>0.000119198485997001</v>
      </c>
      <c r="G35" s="3" t="n">
        <f aca="false">G$8*G$10*(1-EXP(-2*$C35/SQRT(PI()*G$9*G$10)))</f>
        <v>8.00993978379592E-005</v>
      </c>
      <c r="H35" s="3" t="n">
        <f aca="false">H$8*H$10*(1-EXP(-2*$C35/SQRT(PI()*H$9*H$10)))</f>
        <v>2.91955461654367E-005</v>
      </c>
    </row>
    <row r="36" customFormat="false" ht="15.75" hidden="false" customHeight="false" outlineLevel="0" collapsed="false">
      <c r="C36" s="0" t="n">
        <v>2.4</v>
      </c>
      <c r="D36" s="3" t="n">
        <f aca="false">D$8*D$10*(1-EXP(-2*$C36/SQRT(PI()*D$9*D$10)))</f>
        <v>0.000300000550675864</v>
      </c>
      <c r="E36" s="3" t="n">
        <f aca="false">E$8*E$10*(1-EXP(-2*$C36/SQRT(PI()*E$9*E$10)))</f>
        <v>0.000165918019149715</v>
      </c>
      <c r="F36" s="3" t="n">
        <f aca="false">F$8*F$10*(1-EXP(-2*$C36/SQRT(PI()*F$9*F$10)))</f>
        <v>0.000123712066689952</v>
      </c>
      <c r="G36" s="3" t="n">
        <f aca="false">G$8*G$10*(1-EXP(-2*$C36/SQRT(PI()*G$9*G$10)))</f>
        <v>8.29590095748576E-005</v>
      </c>
      <c r="H36" s="3" t="n">
        <f aca="false">H$8*H$10*(1-EXP(-2*$C36/SQRT(PI()*H$9*H$10)))</f>
        <v>3.00000550675864E-005</v>
      </c>
    </row>
    <row r="37" customFormat="false" ht="15.75" hidden="false" customHeight="false" outlineLevel="0" collapsed="false">
      <c r="C37" s="0" t="n">
        <v>2.5</v>
      </c>
      <c r="D37" s="3" t="n">
        <f aca="false">D$8*D$10*(1-EXP(-2*$C37/SQRT(PI()*D$9*D$10)))</f>
        <v>0.000307763632234996</v>
      </c>
      <c r="E37" s="3" t="n">
        <f aca="false">E$8*E$10*(1-EXP(-2*$C37/SQRT(PI()*E$9*E$10)))</f>
        <v>0.000171546701357442</v>
      </c>
      <c r="F37" s="3" t="n">
        <f aca="false">F$8*F$10*(1-EXP(-2*$C37/SQRT(PI()*F$9*F$10)))</f>
        <v>0.000128175003344413</v>
      </c>
      <c r="G37" s="3" t="n">
        <f aca="false">G$8*G$10*(1-EXP(-2*$C37/SQRT(PI()*G$9*G$10)))</f>
        <v>8.5773350678721E-005</v>
      </c>
      <c r="H37" s="3" t="n">
        <f aca="false">H$8*H$10*(1-EXP(-2*$C37/SQRT(PI()*H$9*H$10)))</f>
        <v>3.07763632234996E-005</v>
      </c>
    </row>
    <row r="38" customFormat="false" ht="15.75" hidden="false" customHeight="false" outlineLevel="0" collapsed="false">
      <c r="C38" s="0" t="n">
        <v>2.6</v>
      </c>
      <c r="D38" s="3" t="n">
        <f aca="false">D$8*D$10*(1-EXP(-2*$C38/SQRT(PI()*D$9*D$10)))</f>
        <v>0.00031525459164299</v>
      </c>
      <c r="E38" s="3" t="n">
        <f aca="false">E$8*E$10*(1-EXP(-2*$C38/SQRT(PI()*E$9*E$10)))</f>
        <v>0.00017708627566167</v>
      </c>
      <c r="F38" s="3" t="n">
        <f aca="false">F$8*F$10*(1-EXP(-2*$C38/SQRT(PI()*F$9*F$10)))</f>
        <v>0.000132587864205155</v>
      </c>
      <c r="G38" s="3" t="n">
        <f aca="false">G$8*G$10*(1-EXP(-2*$C38/SQRT(PI()*G$9*G$10)))</f>
        <v>8.85431378308348E-005</v>
      </c>
      <c r="H38" s="3" t="n">
        <f aca="false">H$8*H$10*(1-EXP(-2*$C38/SQRT(PI()*H$9*H$10)))</f>
        <v>3.1525459164299E-005</v>
      </c>
    </row>
    <row r="39" customFormat="false" ht="15.75" hidden="false" customHeight="false" outlineLevel="0" collapsed="false">
      <c r="C39" s="0" t="n">
        <v>2.7</v>
      </c>
      <c r="D39" s="3" t="n">
        <f aca="false">D$8*D$10*(1-EXP(-2*$C39/SQRT(PI()*D$9*D$10)))</f>
        <v>0.000322482967697625</v>
      </c>
      <c r="E39" s="3" t="n">
        <f aca="false">E$8*E$10*(1-EXP(-2*$C39/SQRT(PI()*E$9*E$10)))</f>
        <v>0.000182538152733346</v>
      </c>
      <c r="F39" s="3" t="n">
        <f aca="false">F$8*F$10*(1-EXP(-2*$C39/SQRT(PI()*F$9*F$10)))</f>
        <v>0.000136951211141037</v>
      </c>
      <c r="G39" s="3" t="n">
        <f aca="false">G$8*G$10*(1-EXP(-2*$C39/SQRT(PI()*G$9*G$10)))</f>
        <v>9.12690763666728E-005</v>
      </c>
      <c r="H39" s="3" t="n">
        <f aca="false">H$8*H$10*(1-EXP(-2*$C39/SQRT(PI()*H$9*H$10)))</f>
        <v>3.22482967697625E-005</v>
      </c>
    </row>
    <row r="40" customFormat="false" ht="15.75" hidden="false" customHeight="false" outlineLevel="0" collapsed="false">
      <c r="C40" s="0" t="n">
        <v>2.8</v>
      </c>
      <c r="D40" s="3" t="n">
        <f aca="false">D$8*D$10*(1-EXP(-2*$C40/SQRT(PI()*D$9*D$10)))</f>
        <v>0.000329457964829698</v>
      </c>
      <c r="E40" s="3" t="n">
        <f aca="false">E$8*E$10*(1-EXP(-2*$C40/SQRT(PI()*E$9*E$10)))</f>
        <v>0.000187903720911028</v>
      </c>
      <c r="F40" s="3" t="n">
        <f aca="false">F$8*F$10*(1-EXP(-2*$C40/SQRT(PI()*F$9*F$10)))</f>
        <v>0.000141265599716539</v>
      </c>
      <c r="G40" s="3" t="n">
        <f aca="false">G$8*G$10*(1-EXP(-2*$C40/SQRT(PI()*G$9*G$10)))</f>
        <v>9.39518604555138E-005</v>
      </c>
      <c r="H40" s="3" t="n">
        <f aca="false">H$8*H$10*(1-EXP(-2*$C40/SQRT(PI()*H$9*H$10)))</f>
        <v>3.29457964829698E-005</v>
      </c>
    </row>
    <row r="41" customFormat="false" ht="15.75" hidden="false" customHeight="false" outlineLevel="0" collapsed="false">
      <c r="C41" s="0" t="n">
        <v>2.9</v>
      </c>
      <c r="D41" s="3" t="n">
        <f aca="false">D$8*D$10*(1-EXP(-2*$C41/SQRT(PI()*D$9*D$10)))</f>
        <v>0.000336188464823707</v>
      </c>
      <c r="E41" s="3" t="n">
        <f aca="false">E$8*E$10*(1-EXP(-2*$C41/SQRT(PI()*E$9*E$10)))</f>
        <v>0.000193184346554427</v>
      </c>
      <c r="F41" s="3" t="n">
        <f aca="false">F$8*F$10*(1-EXP(-2*$C41/SQRT(PI()*F$9*F$10)))</f>
        <v>0.000145531579262504</v>
      </c>
      <c r="G41" s="3" t="n">
        <f aca="false">G$8*G$10*(1-EXP(-2*$C41/SQRT(PI()*G$9*G$10)))</f>
        <v>9.65921732772135E-005</v>
      </c>
      <c r="H41" s="3" t="n">
        <f aca="false">H$8*H$10*(1-EXP(-2*$C41/SQRT(PI()*H$9*H$10)))</f>
        <v>3.36188464823707E-005</v>
      </c>
    </row>
    <row r="42" customFormat="false" ht="15.75" hidden="false" customHeight="false" outlineLevel="0" collapsed="false">
      <c r="C42" s="0" t="n">
        <v>3</v>
      </c>
      <c r="D42" s="3" t="n">
        <f aca="false">D$8*D$10*(1-EXP(-2*$C42/SQRT(PI()*D$9*D$10)))</f>
        <v>0.000342683038127695</v>
      </c>
      <c r="E42" s="3" t="n">
        <f aca="false">E$8*E$10*(1-EXP(-2*$C42/SQRT(PI()*E$9*E$10)))</f>
        <v>0.000198381374392357</v>
      </c>
      <c r="F42" s="3" t="n">
        <f aca="false">F$8*F$10*(1-EXP(-2*$C42/SQRT(PI()*F$9*F$10)))</f>
        <v>0.00014974969294608</v>
      </c>
      <c r="G42" s="3" t="n">
        <f aca="false">G$8*G$10*(1-EXP(-2*$C42/SQRT(PI()*G$9*G$10)))</f>
        <v>9.91906871961787E-005</v>
      </c>
      <c r="H42" s="3" t="n">
        <f aca="false">H$8*H$10*(1-EXP(-2*$C42/SQRT(PI()*H$9*H$10)))</f>
        <v>3.42683038127695E-005</v>
      </c>
    </row>
    <row r="43" customFormat="false" ht="15.75" hidden="false" customHeight="false" outlineLevel="0" collapsed="false">
      <c r="C43" s="0" t="n">
        <v>3.1</v>
      </c>
      <c r="D43" s="3" t="n">
        <f aca="false">D$8*D$10*(1-EXP(-2*$C43/SQRT(PI()*D$9*D$10)))</f>
        <v>0.000348949954766641</v>
      </c>
      <c r="E43" s="3" t="n">
        <f aca="false">E$8*E$10*(1-EXP(-2*$C43/SQRT(PI()*E$9*E$10)))</f>
        <v>0.000203496127865175</v>
      </c>
      <c r="F43" s="3" t="n">
        <f aca="false">F$8*F$10*(1-EXP(-2*$C43/SQRT(PI()*F$9*F$10)))</f>
        <v>0.000153920477839882</v>
      </c>
      <c r="G43" s="3" t="n">
        <f aca="false">G$8*G$10*(1-EXP(-2*$C43/SQRT(PI()*G$9*G$10)))</f>
        <v>0.000101748063932587</v>
      </c>
      <c r="H43" s="3" t="n">
        <f aca="false">H$8*H$10*(1-EXP(-2*$C43/SQRT(PI()*H$9*H$10)))</f>
        <v>3.48949954766641E-005</v>
      </c>
    </row>
    <row r="44" customFormat="false" ht="15.75" hidden="false" customHeight="false" outlineLevel="0" collapsed="false">
      <c r="C44" s="0" t="n">
        <v>3.2</v>
      </c>
      <c r="D44" s="3" t="n">
        <f aca="false">D$8*D$10*(1-EXP(-2*$C44/SQRT(PI()*D$9*D$10)))</f>
        <v>0.000354997194873298</v>
      </c>
      <c r="E44" s="3" t="n">
        <f aca="false">E$8*E$10*(1-EXP(-2*$C44/SQRT(PI()*E$9*E$10)))</f>
        <v>0.000208529909461794</v>
      </c>
      <c r="F44" s="3" t="n">
        <f aca="false">F$8*F$10*(1-EXP(-2*$C44/SQRT(PI()*F$9*F$10)))</f>
        <v>0.00015804446499037</v>
      </c>
      <c r="G44" s="3" t="n">
        <f aca="false">G$8*G$10*(1-EXP(-2*$C44/SQRT(PI()*G$9*G$10)))</f>
        <v>0.000104264954730897</v>
      </c>
      <c r="H44" s="3" t="n">
        <f aca="false">H$8*H$10*(1-EXP(-2*$C44/SQRT(PI()*H$9*H$10)))</f>
        <v>3.54997194873298E-005</v>
      </c>
    </row>
    <row r="45" customFormat="false" ht="15.75" hidden="false" customHeight="false" outlineLevel="0" collapsed="false">
      <c r="C45" s="0" t="n">
        <v>3.3</v>
      </c>
      <c r="D45" s="3" t="n">
        <f aca="false">D$8*D$10*(1-EXP(-2*$C45/SQRT(PI()*D$9*D$10)))</f>
        <v>0.000360832458849891</v>
      </c>
      <c r="E45" s="3" t="n">
        <f aca="false">E$8*E$10*(1-EXP(-2*$C45/SQRT(PI()*E$9*E$10)))</f>
        <v>0.000213484001051376</v>
      </c>
      <c r="F45" s="3" t="n">
        <f aca="false">F$8*F$10*(1-EXP(-2*$C45/SQRT(PI()*F$9*F$10)))</f>
        <v>0.000162122179485466</v>
      </c>
      <c r="G45" s="3" t="n">
        <f aca="false">G$8*G$10*(1-EXP(-2*$C45/SQRT(PI()*G$9*G$10)))</f>
        <v>0.000106742000525688</v>
      </c>
      <c r="H45" s="3" t="n">
        <f aca="false">H$8*H$10*(1-EXP(-2*$C45/SQRT(PI()*H$9*H$10)))</f>
        <v>3.60832458849891E-005</v>
      </c>
    </row>
    <row r="46" customFormat="false" ht="15.75" hidden="false" customHeight="false" outlineLevel="0" collapsed="false">
      <c r="C46" s="0" t="n">
        <v>3.4</v>
      </c>
      <c r="D46" s="3" t="n">
        <f aca="false">D$8*D$10*(1-EXP(-2*$C46/SQRT(PI()*D$9*D$10)))</f>
        <v>0.000366463177173617</v>
      </c>
      <c r="E46" s="3" t="n">
        <f aca="false">E$8*E$10*(1-EXP(-2*$C46/SQRT(PI()*E$9*E$10)))</f>
        <v>0.000218359664209755</v>
      </c>
      <c r="F46" s="3" t="n">
        <f aca="false">F$8*F$10*(1-EXP(-2*$C46/SQRT(PI()*F$9*F$10)))</f>
        <v>0.000166154140521416</v>
      </c>
      <c r="G46" s="3" t="n">
        <f aca="false">G$8*G$10*(1-EXP(-2*$C46/SQRT(PI()*G$9*G$10)))</f>
        <v>0.000109179832104877</v>
      </c>
      <c r="H46" s="3" t="n">
        <f aca="false">H$8*H$10*(1-EXP(-2*$C46/SQRT(PI()*H$9*H$10)))</f>
        <v>3.66463177173617E-005</v>
      </c>
    </row>
    <row r="47" customFormat="false" ht="15.75" hidden="false" customHeight="false" outlineLevel="0" collapsed="false">
      <c r="C47" s="0" t="n">
        <v>3.5</v>
      </c>
      <c r="D47" s="3" t="n">
        <f aca="false">D$8*D$10*(1-EXP(-2*$C47/SQRT(PI()*D$9*D$10)))</f>
        <v>0.000371896519858426</v>
      </c>
      <c r="E47" s="3" t="n">
        <f aca="false">E$8*E$10*(1-EXP(-2*$C47/SQRT(PI()*E$9*E$10)))</f>
        <v>0.000223158140540706</v>
      </c>
      <c r="F47" s="3" t="n">
        <f aca="false">F$8*F$10*(1-EXP(-2*$C47/SQRT(PI()*F$9*F$10)))</f>
        <v>0.000170140861468888</v>
      </c>
      <c r="G47" s="3" t="n">
        <f aca="false">G$8*G$10*(1-EXP(-2*$C47/SQRT(PI()*G$9*G$10)))</f>
        <v>0.000111579070270353</v>
      </c>
      <c r="H47" s="3" t="n">
        <f aca="false">H$8*H$10*(1-EXP(-2*$C47/SQRT(PI()*H$9*H$10)))</f>
        <v>3.71896519858426E-005</v>
      </c>
    </row>
    <row r="48" customFormat="false" ht="15.75" hidden="false" customHeight="false" outlineLevel="0" collapsed="false">
      <c r="C48" s="0" t="n">
        <v>3.6</v>
      </c>
      <c r="D48" s="3" t="n">
        <f aca="false">D$8*D$10*(1-EXP(-2*$C48/SQRT(PI()*D$9*D$10)))</f>
        <v>0.000377139405585131</v>
      </c>
      <c r="E48" s="3" t="n">
        <f aca="false">E$8*E$10*(1-EXP(-2*$C48/SQRT(PI()*E$9*E$10)))</f>
        <v>0.000227880651992124</v>
      </c>
      <c r="F48" s="3" t="n">
        <f aca="false">F$8*F$10*(1-EXP(-2*$C48/SQRT(PI()*F$9*F$10)))</f>
        <v>0.000174082849938345</v>
      </c>
      <c r="G48" s="3" t="n">
        <f aca="false">G$8*G$10*(1-EXP(-2*$C48/SQRT(PI()*G$9*G$10)))</f>
        <v>0.000113940325996062</v>
      </c>
      <c r="H48" s="3" t="n">
        <f aca="false">H$8*H$10*(1-EXP(-2*$C48/SQRT(PI()*H$9*H$10)))</f>
        <v>3.77139405585131E-005</v>
      </c>
    </row>
    <row r="49" customFormat="false" ht="15.75" hidden="false" customHeight="false" outlineLevel="0" collapsed="false">
      <c r="C49" s="0" t="n">
        <v>3.7</v>
      </c>
      <c r="D49" s="3" t="n">
        <f aca="false">D$8*D$10*(1-EXP(-2*$C49/SQRT(PI()*D$9*D$10)))</f>
        <v>0.000382198510511486</v>
      </c>
      <c r="E49" s="3" t="n">
        <f aca="false">E$8*E$10*(1-EXP(-2*$C49/SQRT(PI()*E$9*E$10)))</f>
        <v>0.000232528401167194</v>
      </c>
      <c r="F49" s="3" t="n">
        <f aca="false">F$8*F$10*(1-EXP(-2*$C49/SQRT(PI()*F$9*F$10)))</f>
        <v>0.000177980607844673</v>
      </c>
      <c r="G49" s="3" t="n">
        <f aca="false">G$8*G$10*(1-EXP(-2*$C49/SQRT(PI()*G$9*G$10)))</f>
        <v>0.000116264200583597</v>
      </c>
      <c r="H49" s="3" t="n">
        <f aca="false">H$8*H$10*(1-EXP(-2*$C49/SQRT(PI()*H$9*H$10)))</f>
        <v>3.82198510511486E-005</v>
      </c>
    </row>
    <row r="50" customFormat="false" ht="15.75" hidden="false" customHeight="false" outlineLevel="0" collapsed="false">
      <c r="C50" s="0" t="n">
        <v>3.8</v>
      </c>
      <c r="D50" s="3" t="n">
        <f aca="false">D$8*D$10*(1-EXP(-2*$C50/SQRT(PI()*D$9*D$10)))</f>
        <v>0.000387080276773432</v>
      </c>
      <c r="E50" s="3" t="n">
        <f aca="false">E$8*E$10*(1-EXP(-2*$C50/SQRT(PI()*E$9*E$10)))</f>
        <v>0.000237102571630641</v>
      </c>
      <c r="F50" s="3" t="n">
        <f aca="false">F$8*F$10*(1-EXP(-2*$C50/SQRT(PI()*F$9*F$10)))</f>
        <v>0.000181834631471089</v>
      </c>
      <c r="G50" s="3" t="n">
        <f aca="false">G$8*G$10*(1-EXP(-2*$C50/SQRT(PI()*G$9*G$10)))</f>
        <v>0.000118551285815321</v>
      </c>
      <c r="H50" s="3" t="n">
        <f aca="false">H$8*H$10*(1-EXP(-2*$C50/SQRT(PI()*H$9*H$10)))</f>
        <v>3.87080276773432E-005</v>
      </c>
    </row>
    <row r="51" customFormat="false" ht="15.75" hidden="false" customHeight="false" outlineLevel="0" collapsed="false">
      <c r="C51" s="0" t="n">
        <v>3.9</v>
      </c>
      <c r="D51" s="3" t="n">
        <f aca="false">D$8*D$10*(1-EXP(-2*$C51/SQRT(PI()*D$9*D$10)))</f>
        <v>0.000391790920688353</v>
      </c>
      <c r="E51" s="3" t="n">
        <f aca="false">E$8*E$10*(1-EXP(-2*$C51/SQRT(PI()*E$9*E$10)))</f>
        <v>0.000241604328210127</v>
      </c>
      <c r="F51" s="3" t="n">
        <f aca="false">F$8*F$10*(1-EXP(-2*$C51/SQRT(PI()*F$9*F$10)))</f>
        <v>0.000185645411532326</v>
      </c>
      <c r="G51" s="3" t="n">
        <f aca="false">G$8*G$10*(1-EXP(-2*$C51/SQRT(PI()*G$9*G$10)))</f>
        <v>0.000120802164105063</v>
      </c>
      <c r="H51" s="3" t="n">
        <f aca="false">H$8*H$10*(1-EXP(-2*$C51/SQRT(PI()*H$9*H$10)))</f>
        <v>3.91790920688353E-005</v>
      </c>
    </row>
    <row r="52" customFormat="false" ht="15.75" hidden="false" customHeight="false" outlineLevel="0" collapsed="false">
      <c r="C52" s="0" t="n">
        <v>4</v>
      </c>
      <c r="D52" s="3" t="n">
        <f aca="false">D$8*D$10*(1-EXP(-2*$C52/SQRT(PI()*D$9*D$10)))</f>
        <v>0.000396336440670771</v>
      </c>
      <c r="E52" s="3" t="n">
        <f aca="false">E$8*E$10*(1-EXP(-2*$C52/SQRT(PI()*E$9*E$10)))</f>
        <v>0.000246034817292877</v>
      </c>
      <c r="F52" s="3" t="n">
        <f aca="false">F$8*F$10*(1-EXP(-2*$C52/SQRT(PI()*F$9*F$10)))</f>
        <v>0.000189413433237122</v>
      </c>
      <c r="G52" s="3" t="n">
        <f aca="false">G$8*G$10*(1-EXP(-2*$C52/SQRT(PI()*G$9*G$10)))</f>
        <v>0.000123017408646438</v>
      </c>
      <c r="H52" s="3" t="n">
        <f aca="false">H$8*H$10*(1-EXP(-2*$C52/SQRT(PI()*H$9*H$10)))</f>
        <v>3.96336440670771E-005</v>
      </c>
    </row>
    <row r="53" customFormat="false" ht="15.75" hidden="false" customHeight="false" outlineLevel="0" collapsed="false">
      <c r="C53" s="0" t="n">
        <v>4.1</v>
      </c>
      <c r="D53" s="3" t="n">
        <f aca="false">D$8*D$10*(1-EXP(-2*$C53/SQRT(PI()*D$9*D$10)))</f>
        <v>0.000400722624870584</v>
      </c>
      <c r="E53" s="3" t="n">
        <f aca="false">E$8*E$10*(1-EXP(-2*$C53/SQRT(PI()*E$9*E$10)))</f>
        <v>0.000250395167117614</v>
      </c>
      <c r="F53" s="3" t="n">
        <f aca="false">F$8*F$10*(1-EXP(-2*$C53/SQRT(PI()*F$9*F$10)))</f>
        <v>0.000193139176349989</v>
      </c>
      <c r="G53" s="3" t="n">
        <f aca="false">G$8*G$10*(1-EXP(-2*$C53/SQRT(PI()*G$9*G$10)))</f>
        <v>0.000125197583558807</v>
      </c>
      <c r="H53" s="3" t="n">
        <f aca="false">H$8*H$10*(1-EXP(-2*$C53/SQRT(PI()*H$9*H$10)))</f>
        <v>4.00722624870584E-005</v>
      </c>
    </row>
    <row r="54" customFormat="false" ht="15.75" hidden="false" customHeight="false" outlineLevel="0" collapsed="false">
      <c r="C54" s="0" t="n">
        <v>4.2</v>
      </c>
      <c r="D54" s="3" t="n">
        <f aca="false">D$8*D$10*(1-EXP(-2*$C54/SQRT(PI()*D$9*D$10)))</f>
        <v>0.000404955058543542</v>
      </c>
      <c r="E54" s="3" t="n">
        <f aca="false">E$8*E$10*(1-EXP(-2*$C54/SQRT(PI()*E$9*E$10)))</f>
        <v>0.000254686488061867</v>
      </c>
      <c r="F54" s="3" t="n">
        <f aca="false">F$8*F$10*(1-EXP(-2*$C54/SQRT(PI()*F$9*F$10)))</f>
        <v>0.000196823115252308</v>
      </c>
      <c r="G54" s="3" t="n">
        <f aca="false">G$8*G$10*(1-EXP(-2*$C54/SQRT(PI()*G$9*G$10)))</f>
        <v>0.000127343244030933</v>
      </c>
      <c r="H54" s="3" t="n">
        <f aca="false">H$8*H$10*(1-EXP(-2*$C54/SQRT(PI()*H$9*H$10)))</f>
        <v>4.04955058543542E-005</v>
      </c>
    </row>
    <row r="55" customFormat="false" ht="15.75" hidden="false" customHeight="false" outlineLevel="0" collapsed="false">
      <c r="C55" s="0" t="n">
        <v>4.3</v>
      </c>
      <c r="D55" s="3" t="n">
        <f aca="false">D$8*D$10*(1-EXP(-2*$C55/SQRT(PI()*D$9*D$10)))</f>
        <v>0.00040903913116337</v>
      </c>
      <c r="E55" s="3" t="n">
        <f aca="false">E$8*E$10*(1-EXP(-2*$C55/SQRT(PI()*E$9*E$10)))</f>
        <v>0.000258909872924728</v>
      </c>
      <c r="F55" s="3" t="n">
        <f aca="false">F$8*F$10*(1-EXP(-2*$C55/SQRT(PI()*F$9*F$10)))</f>
        <v>0.000200465719002725</v>
      </c>
      <c r="G55" s="3" t="n">
        <f aca="false">G$8*G$10*(1-EXP(-2*$C55/SQRT(PI()*G$9*G$10)))</f>
        <v>0.000129454936462364</v>
      </c>
      <c r="H55" s="3" t="n">
        <f aca="false">H$8*H$10*(1-EXP(-2*$C55/SQRT(PI()*H$9*H$10)))</f>
        <v>4.0903913116337E-005</v>
      </c>
    </row>
    <row r="56" customFormat="false" ht="15.75" hidden="false" customHeight="false" outlineLevel="0" collapsed="false">
      <c r="C56" s="0" t="n">
        <v>4.4</v>
      </c>
      <c r="D56" s="3" t="n">
        <f aca="false">D$8*D$10*(1-EXP(-2*$C56/SQRT(PI()*D$9*D$10)))</f>
        <v>0.000412980043284595</v>
      </c>
      <c r="E56" s="3" t="n">
        <f aca="false">E$8*E$10*(1-EXP(-2*$C56/SQRT(PI()*E$9*E$10)))</f>
        <v>0.000263066397205146</v>
      </c>
      <c r="F56" s="3" t="n">
        <f aca="false">F$8*F$10*(1-EXP(-2*$C56/SQRT(PI()*F$9*F$10)))</f>
        <v>0.000204067451396875</v>
      </c>
      <c r="G56" s="3" t="n">
        <f aca="false">G$8*G$10*(1-EXP(-2*$C56/SQRT(PI()*G$9*G$10)))</f>
        <v>0.000131533198602573</v>
      </c>
      <c r="H56" s="3" t="n">
        <f aca="false">H$8*H$10*(1-EXP(-2*$C56/SQRT(PI()*H$9*H$10)))</f>
        <v>4.12980043284595E-005</v>
      </c>
    </row>
    <row r="57" customFormat="false" ht="15.75" hidden="false" customHeight="false" outlineLevel="0" collapsed="false">
      <c r="C57" s="0" t="n">
        <v>4.5</v>
      </c>
      <c r="D57" s="3" t="n">
        <f aca="false">D$8*D$10*(1-EXP(-2*$C57/SQRT(PI()*D$9*D$10)))</f>
        <v>0.00041678281316479</v>
      </c>
      <c r="E57" s="3" t="n">
        <f aca="false">E$8*E$10*(1-EXP(-2*$C57/SQRT(PI()*E$9*E$10)))</f>
        <v>0.000267157119375798</v>
      </c>
      <c r="F57" s="3" t="n">
        <f aca="false">F$8*F$10*(1-EXP(-2*$C57/SQRT(PI()*F$9*F$10)))</f>
        <v>0.000207628771026435</v>
      </c>
      <c r="G57" s="3" t="n">
        <f aca="false">G$8*G$10*(1-EXP(-2*$C57/SQRT(PI()*G$9*G$10)))</f>
        <v>0.000133578559687899</v>
      </c>
      <c r="H57" s="3" t="n">
        <f aca="false">H$8*H$10*(1-EXP(-2*$C57/SQRT(PI()*H$9*H$10)))</f>
        <v>4.1678281316479E-005</v>
      </c>
    </row>
    <row r="58" customFormat="false" ht="15.75" hidden="false" customHeight="false" outlineLevel="0" collapsed="false">
      <c r="C58" s="0" t="n">
        <v>4.6</v>
      </c>
      <c r="D58" s="3" t="n">
        <f aca="false">D$8*D$10*(1-EXP(-2*$C58/SQRT(PI()*D$9*D$10)))</f>
        <v>0.000420452283154703</v>
      </c>
      <c r="E58" s="3" t="n">
        <f aca="false">E$8*E$10*(1-EXP(-2*$C58/SQRT(PI()*E$9*E$10)))</f>
        <v>0.000271183081152636</v>
      </c>
      <c r="F58" s="3" t="n">
        <f aca="false">F$8*F$10*(1-EXP(-2*$C58/SQRT(PI()*F$9*F$10)))</f>
        <v>0.000211150131337514</v>
      </c>
      <c r="G58" s="3" t="n">
        <f aca="false">G$8*G$10*(1-EXP(-2*$C58/SQRT(PI()*G$9*G$10)))</f>
        <v>0.000135591540576318</v>
      </c>
      <c r="H58" s="3" t="n">
        <f aca="false">H$8*H$10*(1-EXP(-2*$C58/SQRT(PI()*H$9*H$10)))</f>
        <v>4.20452283154703E-005</v>
      </c>
    </row>
    <row r="59" customFormat="false" ht="15.75" hidden="false" customHeight="false" outlineLevel="0" collapsed="false">
      <c r="C59" s="0" t="n">
        <v>4.7</v>
      </c>
      <c r="D59" s="3" t="n">
        <f aca="false">D$8*D$10*(1-EXP(-2*$C59/SQRT(PI()*D$9*D$10)))</f>
        <v>0.000423993125864381</v>
      </c>
      <c r="E59" s="3" t="n">
        <f aca="false">E$8*E$10*(1-EXP(-2*$C59/SQRT(PI()*E$9*E$10)))</f>
        <v>0.000275145307760164</v>
      </c>
      <c r="F59" s="3" t="n">
        <f aca="false">F$8*F$10*(1-EXP(-2*$C59/SQRT(PI()*F$9*F$10)))</f>
        <v>0.00021463198068839</v>
      </c>
      <c r="G59" s="3" t="n">
        <f aca="false">G$8*G$10*(1-EXP(-2*$C59/SQRT(PI()*G$9*G$10)))</f>
        <v>0.000137572653880082</v>
      </c>
      <c r="H59" s="3" t="n">
        <f aca="false">H$8*H$10*(1-EXP(-2*$C59/SQRT(PI()*H$9*H$10)))</f>
        <v>4.23993125864381E-005</v>
      </c>
    </row>
    <row r="60" customFormat="false" ht="15.75" hidden="false" customHeight="false" outlineLevel="0" collapsed="false">
      <c r="C60" s="0" t="n">
        <v>4.8</v>
      </c>
      <c r="D60" s="3" t="n">
        <f aca="false">D$8*D$10*(1-EXP(-2*$C60/SQRT(PI()*D$9*D$10)))</f>
        <v>0.000427409850113155</v>
      </c>
      <c r="E60" s="3" t="n">
        <f aca="false">E$8*E$10*(1-EXP(-2*$C60/SQRT(PI()*E$9*E$10)))</f>
        <v>0.000279044808192513</v>
      </c>
      <c r="F60" s="3" t="n">
        <f aca="false">F$8*F$10*(1-EXP(-2*$C60/SQRT(PI()*F$9*F$10)))</f>
        <v>0.000218074762406594</v>
      </c>
      <c r="G60" s="3" t="n">
        <f aca="false">G$8*G$10*(1-EXP(-2*$C60/SQRT(PI()*G$9*G$10)))</f>
        <v>0.000139522404096256</v>
      </c>
      <c r="H60" s="3" t="n">
        <f aca="false">H$8*H$10*(1-EXP(-2*$C60/SQRT(PI()*H$9*H$10)))</f>
        <v>4.27409850113155E-005</v>
      </c>
    </row>
    <row r="61" customFormat="false" ht="15.75" hidden="false" customHeight="false" outlineLevel="0" collapsed="false">
      <c r="C61" s="0" t="n">
        <v>4.9</v>
      </c>
      <c r="D61" s="3" t="n">
        <f aca="false">D$8*D$10*(1-EXP(-2*$C61/SQRT(PI()*D$9*D$10)))</f>
        <v>0.000430706806671052</v>
      </c>
      <c r="E61" s="3" t="n">
        <f aca="false">E$8*E$10*(1-EXP(-2*$C61/SQRT(PI()*E$9*E$10)))</f>
        <v>0.000282882575470387</v>
      </c>
      <c r="F61" s="3" t="n">
        <f aca="false">F$8*F$10*(1-EXP(-2*$C61/SQRT(PI()*F$9*F$10)))</f>
        <v>0.000221478914845362</v>
      </c>
      <c r="G61" s="3" t="n">
        <f aca="false">G$8*G$10*(1-EXP(-2*$C61/SQRT(PI()*G$9*G$10)))</f>
        <v>0.000141441287735193</v>
      </c>
      <c r="H61" s="3" t="n">
        <f aca="false">H$8*H$10*(1-EXP(-2*$C61/SQRT(PI()*H$9*H$10)))</f>
        <v>4.30706806671052E-005</v>
      </c>
    </row>
    <row r="62" customFormat="false" ht="15.75" hidden="false" customHeight="false" outlineLevel="0" collapsed="false">
      <c r="C62" s="0" t="n">
        <v>5</v>
      </c>
      <c r="D62" s="3" t="n">
        <f aca="false">D$8*D$10*(1-EXP(-2*$C62/SQRT(PI()*D$9*D$10)))</f>
        <v>0.00043388819379896</v>
      </c>
      <c r="E62" s="3" t="n">
        <f aca="false">E$8*E$10*(1-EXP(-2*$C62/SQRT(PI()*E$9*E$10)))</f>
        <v>0.000286659586893937</v>
      </c>
      <c r="F62" s="3" t="n">
        <f aca="false">F$8*F$10*(1-EXP(-2*$C62/SQRT(PI()*F$9*F$10)))</f>
        <v>0.00022484487143944</v>
      </c>
      <c r="G62" s="3" t="n">
        <f aca="false">G$8*G$10*(1-EXP(-2*$C62/SQRT(PI()*G$9*G$10)))</f>
        <v>0.000143329793446968</v>
      </c>
      <c r="H62" s="3" t="n">
        <f aca="false">H$8*H$10*(1-EXP(-2*$C62/SQRT(PI()*H$9*H$10)))</f>
        <v>4.3388819379896E-005</v>
      </c>
    </row>
    <row r="63" customFormat="false" ht="15.75" hidden="false" customHeight="false" outlineLevel="0" collapsed="false">
      <c r="C63" s="0" t="n">
        <v>5.1</v>
      </c>
      <c r="D63" s="3" t="n">
        <f aca="false">D$8*D$10*(1-EXP(-2*$C63/SQRT(PI()*D$9*D$10)))</f>
        <v>0.000436958062594586</v>
      </c>
      <c r="E63" s="3" t="n">
        <f aca="false">E$8*E$10*(1-EXP(-2*$C63/SQRT(PI()*E$9*E$10)))</f>
        <v>0.000290376804291634</v>
      </c>
      <c r="F63" s="3" t="n">
        <f aca="false">F$8*F$10*(1-EXP(-2*$C63/SQRT(PI()*F$9*F$10)))</f>
        <v>0.000228173060760282</v>
      </c>
      <c r="G63" s="3" t="n">
        <f aca="false">G$8*G$10*(1-EXP(-2*$C63/SQRT(PI()*G$9*G$10)))</f>
        <v>0.000145188402145817</v>
      </c>
      <c r="H63" s="3" t="n">
        <f aca="false">H$8*H$10*(1-EXP(-2*$C63/SQRT(PI()*H$9*H$10)))</f>
        <v>4.36958062594586E-005</v>
      </c>
    </row>
    <row r="64" customFormat="false" ht="15.75" hidden="false" customHeight="false" outlineLevel="0" collapsed="false">
      <c r="C64" s="0" t="n">
        <v>5.2</v>
      </c>
      <c r="D64" s="3" t="n">
        <f aca="false">D$8*D$10*(1-EXP(-2*$C64/SQRT(PI()*D$9*D$10)))</f>
        <v>0.000439920322151018</v>
      </c>
      <c r="E64" s="3" t="n">
        <f aca="false">E$8*E$10*(1-EXP(-2*$C64/SQRT(PI()*E$9*E$10)))</f>
        <v>0.000294035174265203</v>
      </c>
      <c r="F64" s="3" t="n">
        <f aca="false">F$8*F$10*(1-EXP(-2*$C64/SQRT(PI()*F$9*F$10)))</f>
        <v>0.000231463906570608</v>
      </c>
      <c r="G64" s="3" t="n">
        <f aca="false">G$8*G$10*(1-EXP(-2*$C64/SQRT(PI()*G$9*G$10)))</f>
        <v>0.000147017587132601</v>
      </c>
      <c r="H64" s="3" t="n">
        <f aca="false">H$8*H$10*(1-EXP(-2*$C64/SQRT(PI()*H$9*H$10)))</f>
        <v>4.39920322151018E-005</v>
      </c>
    </row>
    <row r="65" customFormat="false" ht="15.75" hidden="false" customHeight="false" outlineLevel="0" collapsed="false">
      <c r="C65" s="0" t="n">
        <v>5.3</v>
      </c>
      <c r="D65" s="3" t="n">
        <f aca="false">D$8*D$10*(1-EXP(-2*$C65/SQRT(PI()*D$9*D$10)))</f>
        <v>0.000442778744534469</v>
      </c>
      <c r="E65" s="3" t="n">
        <f aca="false">E$8*E$10*(1-EXP(-2*$C65/SQRT(PI()*E$9*E$10)))</f>
        <v>0.000297635628430677</v>
      </c>
      <c r="F65" s="3" t="n">
        <f aca="false">F$8*F$10*(1-EXP(-2*$C65/SQRT(PI()*F$9*F$10)))</f>
        <v>0.000234717827878367</v>
      </c>
      <c r="G65" s="3" t="n">
        <f aca="false">G$8*G$10*(1-EXP(-2*$C65/SQRT(PI()*G$9*G$10)))</f>
        <v>0.000148817814215339</v>
      </c>
      <c r="H65" s="3" t="n">
        <f aca="false">H$8*H$10*(1-EXP(-2*$C65/SQRT(PI()*H$9*H$10)))</f>
        <v>4.42778744534469E-005</v>
      </c>
    </row>
    <row r="66" customFormat="false" ht="15.75" hidden="false" customHeight="false" outlineLevel="0" collapsed="false">
      <c r="C66" s="0" t="n">
        <v>5.4</v>
      </c>
      <c r="D66" s="3" t="n">
        <f aca="false">D$8*D$10*(1-EXP(-2*$C66/SQRT(PI()*D$9*D$10)))</f>
        <v>0.000445536969587527</v>
      </c>
      <c r="E66" s="3" t="n">
        <f aca="false">E$8*E$10*(1-EXP(-2*$C66/SQRT(PI()*E$9*E$10)))</f>
        <v>0.000301179083655637</v>
      </c>
      <c r="F66" s="3" t="n">
        <f aca="false">F$8*F$10*(1-EXP(-2*$C66/SQRT(PI()*F$9*F$10)))</f>
        <v>0.000237935238990083</v>
      </c>
      <c r="G66" s="3" t="n">
        <f aca="false">G$8*G$10*(1-EXP(-2*$C66/SQRT(PI()*G$9*G$10)))</f>
        <v>0.000150589541827819</v>
      </c>
      <c r="H66" s="3" t="n">
        <f aca="false">H$8*H$10*(1-EXP(-2*$C66/SQRT(PI()*H$9*H$10)))</f>
        <v>4.45536969587527E-005</v>
      </c>
    </row>
    <row r="67" customFormat="false" ht="15.75" hidden="false" customHeight="false" outlineLevel="0" collapsed="false">
      <c r="C67" s="0" t="n">
        <v>5.5</v>
      </c>
      <c r="D67" s="3" t="n">
        <f aca="false">D$8*D$10*(1-EXP(-2*$C67/SQRT(PI()*D$9*D$10)))</f>
        <v>0.000448198509564041</v>
      </c>
      <c r="E67" s="3" t="n">
        <f aca="false">E$8*E$10*(1-EXP(-2*$C67/SQRT(PI()*E$9*E$10)))</f>
        <v>0.000304666442292695</v>
      </c>
      <c r="F67" s="3" t="n">
        <f aca="false">F$8*F$10*(1-EXP(-2*$C67/SQRT(PI()*F$9*F$10)))</f>
        <v>0.000241116549563608</v>
      </c>
      <c r="G67" s="3" t="n">
        <f aca="false">G$8*G$10*(1-EXP(-2*$C67/SQRT(PI()*G$9*G$10)))</f>
        <v>0.000152333221146348</v>
      </c>
      <c r="H67" s="3" t="n">
        <f aca="false">H$8*H$10*(1-EXP(-2*$C67/SQRT(PI()*H$9*H$10)))</f>
        <v>4.48198509564041E-005</v>
      </c>
    </row>
    <row r="68" customFormat="false" ht="15.75" hidden="false" customHeight="false" outlineLevel="0" collapsed="false">
      <c r="C68" s="0" t="n">
        <v>5.6</v>
      </c>
      <c r="D68" s="3" t="n">
        <f aca="false">D$8*D$10*(1-EXP(-2*$C68/SQRT(PI()*D$9*D$10)))</f>
        <v>0.000450766753601534</v>
      </c>
      <c r="E68" s="3" t="n">
        <f aca="false">E$8*E$10*(1-EXP(-2*$C68/SQRT(PI()*E$9*E$10)))</f>
        <v>0.000308098592409281</v>
      </c>
      <c r="F68" s="3" t="n">
        <f aca="false">F$8*F$10*(1-EXP(-2*$C68/SQRT(PI()*F$9*F$10)))</f>
        <v>0.000244262164660283</v>
      </c>
      <c r="G68" s="3" t="n">
        <f aca="false">G$8*G$10*(1-EXP(-2*$C68/SQRT(PI()*G$9*G$10)))</f>
        <v>0.00015404929620464</v>
      </c>
      <c r="H68" s="3" t="n">
        <f aca="false">H$8*H$10*(1-EXP(-2*$C68/SQRT(PI()*H$9*H$10)))</f>
        <v>4.50766753601535E-005</v>
      </c>
    </row>
    <row r="69" customFormat="false" ht="15.75" hidden="false" customHeight="false" outlineLevel="0" collapsed="false">
      <c r="C69" s="0" t="n">
        <v>5.7</v>
      </c>
      <c r="D69" s="3" t="n">
        <f aca="false">D$8*D$10*(1-EXP(-2*$C69/SQRT(PI()*D$9*D$10)))</f>
        <v>0.000453244972036849</v>
      </c>
      <c r="E69" s="3" t="n">
        <f aca="false">E$8*E$10*(1-EXP(-2*$C69/SQRT(PI()*E$9*E$10)))</f>
        <v>0.000311476408013791</v>
      </c>
      <c r="F69" s="3" t="n">
        <f aca="false">F$8*F$10*(1-EXP(-2*$C69/SQRT(PI()*F$9*F$10)))</f>
        <v>0.000247372484796511</v>
      </c>
      <c r="G69" s="3" t="n">
        <f aca="false">G$8*G$10*(1-EXP(-2*$C69/SQRT(PI()*G$9*G$10)))</f>
        <v>0.000155738204006895</v>
      </c>
      <c r="H69" s="3" t="n">
        <f aca="false">H$8*H$10*(1-EXP(-2*$C69/SQRT(PI()*H$9*H$10)))</f>
        <v>4.53244972036849E-005</v>
      </c>
    </row>
    <row r="70" customFormat="false" ht="15.75" hidden="false" customHeight="false" outlineLevel="0" collapsed="false">
      <c r="C70" s="0" t="n">
        <v>5.8</v>
      </c>
      <c r="D70" s="3" t="n">
        <f aca="false">D$8*D$10*(1-EXP(-2*$C70/SQRT(PI()*D$9*D$10)))</f>
        <v>0.000455636320570505</v>
      </c>
      <c r="E70" s="3" t="n">
        <f aca="false">E$8*E$10*(1-EXP(-2*$C70/SQRT(PI()*E$9*E$10)))</f>
        <v>0.000314800749278159</v>
      </c>
      <c r="F70" s="3" t="n">
        <f aca="false">F$8*F$10*(1-EXP(-2*$C70/SQRT(PI()*F$9*F$10)))</f>
        <v>0.000250447905994753</v>
      </c>
      <c r="G70" s="3" t="n">
        <f aca="false">G$8*G$10*(1-EXP(-2*$C70/SQRT(PI()*G$9*G$10)))</f>
        <v>0.00015740037463908</v>
      </c>
      <c r="H70" s="3" t="n">
        <f aca="false">H$8*H$10*(1-EXP(-2*$C70/SQRT(PI()*H$9*H$10)))</f>
        <v>4.55636320570505E-005</v>
      </c>
    </row>
    <row r="71" customFormat="false" ht="15.75" hidden="false" customHeight="false" outlineLevel="0" collapsed="false">
      <c r="C71" s="0" t="n">
        <v>5.9</v>
      </c>
      <c r="D71" s="3" t="n">
        <f aca="false">D$8*D$10*(1-EXP(-2*$C71/SQRT(PI()*D$9*D$10)))</f>
        <v>0.000457943844285093</v>
      </c>
      <c r="E71" s="3" t="n">
        <f aca="false">E$8*E$10*(1-EXP(-2*$C71/SQRT(PI()*E$9*E$10)))</f>
        <v>0.000318072462756902</v>
      </c>
      <c r="F71" s="3" t="n">
        <f aca="false">F$8*F$10*(1-EXP(-2*$C71/SQRT(PI()*F$9*F$10)))</f>
        <v>0.000253488819833953</v>
      </c>
      <c r="G71" s="3" t="n">
        <f aca="false">G$8*G$10*(1-EXP(-2*$C71/SQRT(PI()*G$9*G$10)))</f>
        <v>0.000159036231378451</v>
      </c>
      <c r="H71" s="3" t="n">
        <f aca="false">H$8*H$10*(1-EXP(-2*$C71/SQRT(PI()*H$9*H$10)))</f>
        <v>4.57943844285093E-005</v>
      </c>
    </row>
    <row r="72" customFormat="false" ht="15.75" hidden="false" customHeight="false" outlineLevel="0" collapsed="false">
      <c r="C72" s="0" t="n">
        <v>6</v>
      </c>
      <c r="D72" s="3" t="n">
        <f aca="false">D$8*D$10*(1-EXP(-2*$C72/SQRT(PI()*D$9*D$10)))</f>
        <v>0.000460170481522806</v>
      </c>
      <c r="E72" s="3" t="n">
        <f aca="false">E$8*E$10*(1-EXP(-2*$C72/SQRT(PI()*E$9*E$10)))</f>
        <v>0.000321292381602694</v>
      </c>
      <c r="F72" s="3" t="n">
        <f aca="false">F$8*F$10*(1-EXP(-2*$C72/SQRT(PI()*F$9*F$10)))</f>
        <v>0.000256495613499393</v>
      </c>
      <c r="G72" s="3" t="n">
        <f aca="false">G$8*G$10*(1-EXP(-2*$C72/SQRT(PI()*G$9*G$10)))</f>
        <v>0.000160646190801347</v>
      </c>
      <c r="H72" s="3" t="n">
        <f aca="false">H$8*H$10*(1-EXP(-2*$C72/SQRT(PI()*H$9*H$10)))</f>
        <v>4.60170481522806E-005</v>
      </c>
    </row>
    <row r="73" customFormat="false" ht="15.75" hidden="false" customHeight="false" outlineLevel="0" collapsed="false">
      <c r="C73" s="0" t="n">
        <v>6.1</v>
      </c>
      <c r="D73" s="3" t="n">
        <f aca="false">D$8*D$10*(1-EXP(-2*$C73/SQRT(PI()*D$9*D$10)))</f>
        <v>0.000462319067627047</v>
      </c>
      <c r="E73" s="3" t="n">
        <f aca="false">E$8*E$10*(1-EXP(-2*$C73/SQRT(PI()*E$9*E$10)))</f>
        <v>0.000324461325778538</v>
      </c>
      <c r="F73" s="3" t="n">
        <f aca="false">F$8*F$10*(1-EXP(-2*$C73/SQRT(PI()*F$9*F$10)))</f>
        <v>0.000259468669831997</v>
      </c>
      <c r="G73" s="3" t="n">
        <f aca="false">G$8*G$10*(1-EXP(-2*$C73/SQRT(PI()*G$9*G$10)))</f>
        <v>0.000162230662889269</v>
      </c>
      <c r="H73" s="3" t="n">
        <f aca="false">H$8*H$10*(1-EXP(-2*$C73/SQRT(PI()*H$9*H$10)))</f>
        <v>4.62319067627047E-005</v>
      </c>
    </row>
    <row r="74" customFormat="false" ht="15.75" hidden="false" customHeight="false" outlineLevel="0" collapsed="false">
      <c r="C74" s="0" t="n">
        <v>6.2</v>
      </c>
      <c r="D74" s="3" t="n">
        <f aca="false">D$8*D$10*(1-EXP(-2*$C74/SQRT(PI()*D$9*D$10)))</f>
        <v>0.000464392338552883</v>
      </c>
      <c r="E74" s="3" t="n">
        <f aca="false">E$8*E$10*(1-EXP(-2*$C74/SQRT(PI()*E$9*E$10)))</f>
        <v>0.000327580102266565</v>
      </c>
      <c r="F74" s="3" t="n">
        <f aca="false">F$8*F$10*(1-EXP(-2*$C74/SQRT(PI()*F$9*F$10)))</f>
        <v>0.000262408367377068</v>
      </c>
      <c r="G74" s="3" t="n">
        <f aca="false">G$8*G$10*(1-EXP(-2*$C74/SQRT(PI()*G$9*G$10)))</f>
        <v>0.000163790051133282</v>
      </c>
      <c r="H74" s="3" t="n">
        <f aca="false">H$8*H$10*(1-EXP(-2*$C74/SQRT(PI()*H$9*H$10)))</f>
        <v>4.64392338552883E-005</v>
      </c>
    </row>
    <row r="75" customFormat="false" ht="15.75" hidden="false" customHeight="false" outlineLevel="0" collapsed="false">
      <c r="C75" s="0" t="n">
        <v>6.3</v>
      </c>
      <c r="D75" s="3" t="n">
        <f aca="false">D$8*D$10*(1-EXP(-2*$C75/SQRT(PI()*D$9*D$10)))</f>
        <v>0.000466392934350946</v>
      </c>
      <c r="E75" s="3" t="n">
        <f aca="false">E$8*E$10*(1-EXP(-2*$C75/SQRT(PI()*E$9*E$10)))</f>
        <v>0.00033064950527354</v>
      </c>
      <c r="F75" s="3" t="n">
        <f aca="false">F$8*F$10*(1-EXP(-2*$C75/SQRT(PI()*F$9*F$10)))</f>
        <v>0.000265315080432496</v>
      </c>
      <c r="G75" s="3" t="n">
        <f aca="false">G$8*G$10*(1-EXP(-2*$C75/SQRT(PI()*G$9*G$10)))</f>
        <v>0.00016532475263677</v>
      </c>
      <c r="H75" s="3" t="n">
        <f aca="false">H$8*H$10*(1-EXP(-2*$C75/SQRT(PI()*H$9*H$10)))</f>
        <v>4.66392934350946E-005</v>
      </c>
    </row>
    <row r="76" customFormat="false" ht="15.75" hidden="false" customHeight="false" outlineLevel="0" collapsed="false">
      <c r="C76" s="0" t="n">
        <v>6.4</v>
      </c>
      <c r="D76" s="3" t="n">
        <f aca="false">D$8*D$10*(1-EXP(-2*$C76/SQRT(PI()*D$9*D$10)))</f>
        <v>0.000468323402529199</v>
      </c>
      <c r="E76" s="3" t="n">
        <f aca="false">E$8*E$10*(1-EXP(-2*$C76/SQRT(PI()*E$9*E$10)))</f>
        <v>0.000333670316433107</v>
      </c>
      <c r="F76" s="3" t="n">
        <f aca="false">F$8*F$10*(1-EXP(-2*$C76/SQRT(PI()*F$9*F$10)))</f>
        <v>0.000268189179096407</v>
      </c>
      <c r="G76" s="3" t="n">
        <f aca="false">G$8*G$10*(1-EXP(-2*$C76/SQRT(PI()*G$9*G$10)))</f>
        <v>0.000166835158216554</v>
      </c>
      <c r="H76" s="3" t="n">
        <f aca="false">H$8*H$10*(1-EXP(-2*$C76/SQRT(PI()*H$9*H$10)))</f>
        <v>4.68323402529199E-005</v>
      </c>
    </row>
    <row r="77" customFormat="false" ht="15.75" hidden="false" customHeight="false" outlineLevel="0" collapsed="false">
      <c r="C77" s="0" t="n">
        <v>6.5</v>
      </c>
      <c r="D77" s="3" t="n">
        <f aca="false">D$8*D$10*(1-EXP(-2*$C77/SQRT(PI()*D$9*D$10)))</f>
        <v>0.000470186201296874</v>
      </c>
      <c r="E77" s="3" t="n">
        <f aca="false">E$8*E$10*(1-EXP(-2*$C77/SQRT(PI()*E$9*E$10)))</f>
        <v>0.000336643305004835</v>
      </c>
      <c r="F77" s="3" t="n">
        <f aca="false">F$8*F$10*(1-EXP(-2*$C77/SQRT(PI()*F$9*F$10)))</f>
        <v>0.000271031029314293</v>
      </c>
      <c r="G77" s="3" t="n">
        <f aca="false">G$8*G$10*(1-EXP(-2*$C77/SQRT(PI()*G$9*G$10)))</f>
        <v>0.000168321652502418</v>
      </c>
      <c r="H77" s="3" t="n">
        <f aca="false">H$8*H$10*(1-EXP(-2*$C77/SQRT(PI()*H$9*H$10)))</f>
        <v>4.70186201296875E-005</v>
      </c>
    </row>
    <row r="78" customFormat="false" ht="15.75" hidden="false" customHeight="false" outlineLevel="0" collapsed="false">
      <c r="C78" s="0" t="n">
        <v>6.6</v>
      </c>
      <c r="D78" s="3" t="n">
        <f aca="false">D$8*D$10*(1-EXP(-2*$C78/SQRT(PI()*D$9*D$10)))</f>
        <v>0.000471983702694693</v>
      </c>
      <c r="E78" s="3" t="n">
        <f aca="false">E$8*E$10*(1-EXP(-2*$C78/SQRT(PI()*E$9*E$10)))</f>
        <v>0.000339569228070113</v>
      </c>
      <c r="F78" s="3" t="n">
        <f aca="false">F$8*F$10*(1-EXP(-2*$C78/SQRT(PI()*F$9*F$10)))</f>
        <v>0.000273840992925599</v>
      </c>
      <c r="G78" s="3" t="n">
        <f aca="false">G$8*G$10*(1-EXP(-2*$C78/SQRT(PI()*G$9*G$10)))</f>
        <v>0.000169784614035057</v>
      </c>
      <c r="H78" s="3" t="n">
        <f aca="false">H$8*H$10*(1-EXP(-2*$C78/SQRT(PI()*H$9*H$10)))</f>
        <v>4.71983702694693E-005</v>
      </c>
    </row>
    <row r="79" customFormat="false" ht="15.75" hidden="false" customHeight="false" outlineLevel="0" collapsed="false">
      <c r="C79" s="0" t="n">
        <v>6.7</v>
      </c>
      <c r="D79" s="3" t="n">
        <f aca="false">D$8*D$10*(1-EXP(-2*$C79/SQRT(PI()*D$9*D$10)))</f>
        <v>0.00047371819561536</v>
      </c>
      <c r="E79" s="3" t="n">
        <f aca="false">E$8*E$10*(1-EXP(-2*$C79/SQRT(PI()*E$9*E$10)))</f>
        <v>0.000342448830724942</v>
      </c>
      <c r="F79" s="3" t="n">
        <f aca="false">F$8*F$10*(1-EXP(-2*$C79/SQRT(PI()*F$9*F$10)))</f>
        <v>0.000276619427709801</v>
      </c>
      <c r="G79" s="3" t="n">
        <f aca="false">G$8*G$10*(1-EXP(-2*$C79/SQRT(PI()*G$9*G$10)))</f>
        <v>0.000171224415362471</v>
      </c>
      <c r="H79" s="3" t="n">
        <f aca="false">H$8*H$10*(1-EXP(-2*$C79/SQRT(PI()*H$9*H$10)))</f>
        <v>4.7371819561536E-005</v>
      </c>
    </row>
    <row r="80" customFormat="false" ht="15.75" hidden="false" customHeight="false" outlineLevel="0" collapsed="false">
      <c r="C80" s="0" t="n">
        <v>6.8</v>
      </c>
      <c r="D80" s="3" t="n">
        <f aca="false">D$8*D$10*(1-EXP(-2*$C80/SQRT(PI()*D$9*D$10)))</f>
        <v>0.000475391888718183</v>
      </c>
      <c r="E80" s="3" t="n">
        <f aca="false">E$8*E$10*(1-EXP(-2*$C80/SQRT(PI()*E$9*E$10)))</f>
        <v>0.000345282846269678</v>
      </c>
      <c r="F80" s="3" t="n">
        <f aca="false">F$8*F$10*(1-EXP(-2*$C80/SQRT(PI()*F$9*F$10)))</f>
        <v>0.000279366687431956</v>
      </c>
      <c r="G80" s="3" t="n">
        <f aca="false">G$8*G$10*(1-EXP(-2*$C80/SQRT(PI()*G$9*G$10)))</f>
        <v>0.000172641423134839</v>
      </c>
      <c r="H80" s="3" t="n">
        <f aca="false">H$8*H$10*(1-EXP(-2*$C80/SQRT(PI()*H$9*H$10)))</f>
        <v>4.75391888718183E-005</v>
      </c>
    </row>
    <row r="81" customFormat="false" ht="15.75" hidden="false" customHeight="false" outlineLevel="0" collapsed="false">
      <c r="C81" s="0" t="n">
        <v>6.9</v>
      </c>
      <c r="D81" s="3" t="n">
        <f aca="false">D$8*D$10*(1-EXP(-2*$C81/SQRT(PI()*D$9*D$10)))</f>
        <v>0.000477006913241522</v>
      </c>
      <c r="E81" s="3" t="n">
        <f aca="false">E$8*E$10*(1-EXP(-2*$C81/SQRT(PI()*E$9*E$10)))</f>
        <v>0.000348071996395768</v>
      </c>
      <c r="F81" s="3" t="n">
        <f aca="false">F$8*F$10*(1-EXP(-2*$C81/SQRT(PI()*F$9*F$10)))</f>
        <v>0.000282083121887749</v>
      </c>
      <c r="G81" s="3" t="n">
        <f aca="false">G$8*G$10*(1-EXP(-2*$C81/SQRT(PI()*G$9*G$10)))</f>
        <v>0.000174035998197884</v>
      </c>
      <c r="H81" s="3" t="n">
        <f aca="false">H$8*H$10*(1-EXP(-2*$C81/SQRT(PI()*H$9*H$10)))</f>
        <v>4.77006913241522E-005</v>
      </c>
    </row>
    <row r="82" customFormat="false" ht="15.75" hidden="false" customHeight="false" outlineLevel="0" collapsed="false">
      <c r="C82" s="0" t="n">
        <v>7</v>
      </c>
      <c r="D82" s="3" t="n">
        <f aca="false">D$8*D$10*(1-EXP(-2*$C82/SQRT(PI()*D$9*D$10)))</f>
        <v>0.000478565325716658</v>
      </c>
      <c r="E82" s="3" t="n">
        <f aca="false">E$8*E$10*(1-EXP(-2*$C82/SQRT(PI()*E$9*E$10)))</f>
        <v>0.000350816991369531</v>
      </c>
      <c r="F82" s="3" t="n">
        <f aca="false">F$8*F$10*(1-EXP(-2*$C82/SQRT(PI()*F$9*F$10)))</f>
        <v>0.000284769076948024</v>
      </c>
      <c r="G82" s="3" t="n">
        <f aca="false">G$8*G$10*(1-EXP(-2*$C82/SQRT(PI()*G$9*G$10)))</f>
        <v>0.000175408495684766</v>
      </c>
      <c r="H82" s="3" t="n">
        <f aca="false">H$8*H$10*(1-EXP(-2*$C82/SQRT(PI()*H$9*H$10)))</f>
        <v>4.78565325716658E-005</v>
      </c>
    </row>
    <row r="83" customFormat="false" ht="15.75" hidden="false" customHeight="false" outlineLevel="0" collapsed="false">
      <c r="C83" s="0" t="n">
        <v>7.1</v>
      </c>
      <c r="D83" s="3" t="n">
        <f aca="false">D$8*D$10*(1-EXP(-2*$C83/SQRT(PI()*D$9*D$10)))</f>
        <v>0.000480069110586524</v>
      </c>
      <c r="E83" s="3" t="n">
        <f aca="false">E$8*E$10*(1-EXP(-2*$C83/SQRT(PI()*E$9*E$10)))</f>
        <v>0.000353518530213031</v>
      </c>
      <c r="F83" s="3" t="n">
        <f aca="false">F$8*F$10*(1-EXP(-2*$C83/SQRT(PI()*F$9*F$10)))</f>
        <v>0.000287424894602832</v>
      </c>
      <c r="G83" s="3" t="n">
        <f aca="false">G$8*G$10*(1-EXP(-2*$C83/SQRT(PI()*G$9*G$10)))</f>
        <v>0.000176759265106516</v>
      </c>
      <c r="H83" s="3" t="n">
        <f aca="false">H$8*H$10*(1-EXP(-2*$C83/SQRT(PI()*H$9*H$10)))</f>
        <v>4.80069110586524E-005</v>
      </c>
    </row>
    <row r="84" customFormat="false" ht="15.75" hidden="false" customHeight="false" outlineLevel="0" collapsed="false">
      <c r="C84" s="0" t="n">
        <v>7.2</v>
      </c>
      <c r="D84" s="3" t="n">
        <f aca="false">D$8*D$10*(1-EXP(-2*$C84/SQRT(PI()*D$9*D$10)))</f>
        <v>0.000481520182732645</v>
      </c>
      <c r="E84" s="3" t="n">
        <f aca="false">E$8*E$10*(1-EXP(-2*$C84/SQRT(PI()*E$9*E$10)))</f>
        <v>0.000356177300882084</v>
      </c>
      <c r="F84" s="3" t="n">
        <f aca="false">F$8*F$10*(1-EXP(-2*$C84/SQRT(PI()*F$9*F$10)))</f>
        <v>0.000290050913004965</v>
      </c>
      <c r="G84" s="3" t="n">
        <f aca="false">G$8*G$10*(1-EXP(-2*$C84/SQRT(PI()*G$9*G$10)))</f>
        <v>0.000178088650441042</v>
      </c>
      <c r="H84" s="3" t="n">
        <f aca="false">H$8*H$10*(1-EXP(-2*$C84/SQRT(PI()*H$9*H$10)))</f>
        <v>4.81520182732645E-005</v>
      </c>
    </row>
    <row r="85" customFormat="false" ht="15.75" hidden="false" customHeight="false" outlineLevel="0" collapsed="false">
      <c r="C85" s="0" t="n">
        <v>7.3</v>
      </c>
      <c r="D85" s="3" t="n">
        <f aca="false">D$8*D$10*(1-EXP(-2*$C85/SQRT(PI()*D$9*D$10)))</f>
        <v>0.0004829203899135</v>
      </c>
      <c r="E85" s="3" t="n">
        <f aca="false">E$8*E$10*(1-EXP(-2*$C85/SQRT(PI()*E$9*E$10)))</f>
        <v>0.000358793980441449</v>
      </c>
      <c r="F85" s="3" t="n">
        <f aca="false">F$8*F$10*(1-EXP(-2*$C85/SQRT(PI()*F$9*F$10)))</f>
        <v>0.000292647466513019</v>
      </c>
      <c r="G85" s="3" t="n">
        <f aca="false">G$8*G$10*(1-EXP(-2*$C85/SQRT(PI()*G$9*G$10)))</f>
        <v>0.000179396990220725</v>
      </c>
      <c r="H85" s="3" t="n">
        <f aca="false">H$8*H$10*(1-EXP(-2*$C85/SQRT(PI()*H$9*H$10)))</f>
        <v>4.829203899135E-005</v>
      </c>
    </row>
    <row r="86" customFormat="false" ht="15.75" hidden="false" customHeight="false" outlineLevel="0" collapsed="false">
      <c r="C86" s="0" t="n">
        <v>7.4</v>
      </c>
      <c r="D86" s="3" t="n">
        <f aca="false">D$8*D$10*(1-EXP(-2*$C86/SQRT(PI()*D$9*D$10)))</f>
        <v>0.000484271515117412</v>
      </c>
      <c r="E86" s="3" t="n">
        <f aca="false">E$8*E$10*(1-EXP(-2*$C86/SQRT(PI()*E$9*E$10)))</f>
        <v>0.000361369235237245</v>
      </c>
      <c r="F86" s="3" t="n">
        <f aca="false">F$8*F$10*(1-EXP(-2*$C86/SQRT(PI()*F$9*F$10)))</f>
        <v>0.000295214885733963</v>
      </c>
      <c r="G86" s="3" t="n">
        <f aca="false">G$8*G$10*(1-EXP(-2*$C86/SQRT(PI()*G$9*G$10)))</f>
        <v>0.000180684617618622</v>
      </c>
      <c r="H86" s="3" t="n">
        <f aca="false">H$8*H$10*(1-EXP(-2*$C86/SQRT(PI()*H$9*H$10)))</f>
        <v>4.84271515117412E-005</v>
      </c>
    </row>
    <row r="87" customFormat="false" ht="15.75" hidden="false" customHeight="false" outlineLevel="0" collapsed="false">
      <c r="C87" s="0" t="n">
        <v>7.5</v>
      </c>
      <c r="D87" s="3" t="n">
        <f aca="false">D$8*D$10*(1-EXP(-2*$C87/SQRT(PI()*D$9*D$10)))</f>
        <v>0.000485575278832958</v>
      </c>
      <c r="E87" s="3" t="n">
        <f aca="false">E$8*E$10*(1-EXP(-2*$C87/SQRT(PI()*E$9*E$10)))</f>
        <v>0.000363903721066635</v>
      </c>
      <c r="F87" s="3" t="n">
        <f aca="false">F$8*F$10*(1-EXP(-2*$C87/SQRT(PI()*F$9*F$10)))</f>
        <v>0.000297753497565233</v>
      </c>
      <c r="G87" s="3" t="n">
        <f aca="false">G$8*G$10*(1-EXP(-2*$C87/SQRT(PI()*G$9*G$10)))</f>
        <v>0.000181951860533318</v>
      </c>
      <c r="H87" s="3" t="n">
        <f aca="false">H$8*H$10*(1-EXP(-2*$C87/SQRT(PI()*H$9*H$10)))</f>
        <v>4.85575278832958E-005</v>
      </c>
    </row>
    <row r="88" customFormat="false" ht="15.75" hidden="false" customHeight="false" outlineLevel="0" collapsed="false">
      <c r="C88" s="0" t="n">
        <v>7.6</v>
      </c>
      <c r="D88" s="3" t="n">
        <f aca="false">D$8*D$10*(1-EXP(-2*$C88/SQRT(PI()*D$9*D$10)))</f>
        <v>0.000486833341239798</v>
      </c>
      <c r="E88" s="3" t="n">
        <f aca="false">E$8*E$10*(1-EXP(-2*$C88/SQRT(PI()*E$9*E$10)))</f>
        <v>0.000366398083344834</v>
      </c>
      <c r="F88" s="3" t="n">
        <f aca="false">F$8*F$10*(1-EXP(-2*$C88/SQRT(PI()*F$9*F$10)))</f>
        <v>0.000300263625236356</v>
      </c>
      <c r="G88" s="3" t="n">
        <f aca="false">G$8*G$10*(1-EXP(-2*$C88/SQRT(PI()*G$9*G$10)))</f>
        <v>0.000183199041672417</v>
      </c>
      <c r="H88" s="3" t="n">
        <f aca="false">H$8*H$10*(1-EXP(-2*$C88/SQRT(PI()*H$9*H$10)))</f>
        <v>4.86833341239798E-005</v>
      </c>
    </row>
    <row r="89" customFormat="false" ht="15.75" hidden="false" customHeight="false" outlineLevel="0" collapsed="false">
      <c r="C89" s="0" t="n">
        <v>7.7</v>
      </c>
      <c r="D89" s="3" t="n">
        <f aca="false">D$8*D$10*(1-EXP(-2*$C89/SQRT(PI()*D$9*D$10)))</f>
        <v>0.000488047304322701</v>
      </c>
      <c r="E89" s="3" t="n">
        <f aca="false">E$8*E$10*(1-EXP(-2*$C89/SQRT(PI()*E$9*E$10)))</f>
        <v>0.000368852957269458</v>
      </c>
      <c r="F89" s="3" t="n">
        <f aca="false">F$8*F$10*(1-EXP(-2*$C89/SQRT(PI()*F$9*F$10)))</f>
        <v>0.000302745588350103</v>
      </c>
      <c r="G89" s="3" t="n">
        <f aca="false">G$8*G$10*(1-EXP(-2*$C89/SQRT(PI()*G$9*G$10)))</f>
        <v>0.000184426478634729</v>
      </c>
      <c r="H89" s="3" t="n">
        <f aca="false">H$8*H$10*(1-EXP(-2*$C89/SQRT(PI()*H$9*H$10)))</f>
        <v>4.88047304322701E-005</v>
      </c>
    </row>
    <row r="90" customFormat="false" ht="15.75" hidden="false" customHeight="false" outlineLevel="0" collapsed="false">
      <c r="C90" s="0" t="n">
        <v>7.8</v>
      </c>
      <c r="D90" s="3" t="n">
        <f aca="false">D$8*D$10*(1-EXP(-2*$C90/SQRT(PI()*D$9*D$10)))</f>
        <v>0.00048921871391148</v>
      </c>
      <c r="E90" s="3" t="n">
        <f aca="false">E$8*E$10*(1-EXP(-2*$C90/SQRT(PI()*E$9*E$10)))</f>
        <v>0.000371268967982284</v>
      </c>
      <c r="F90" s="3" t="n">
        <f aca="false">F$8*F$10*(1-EXP(-2*$C90/SQRT(PI()*F$9*F$10)))</f>
        <v>0.000305199702923187</v>
      </c>
      <c r="G90" s="3" t="n">
        <f aca="false">G$8*G$10*(1-EXP(-2*$C90/SQRT(PI()*G$9*G$10)))</f>
        <v>0.000185634483991142</v>
      </c>
      <c r="H90" s="3" t="n">
        <f aca="false">H$8*H$10*(1-EXP(-2*$C90/SQRT(PI()*H$9*H$10)))</f>
        <v>4.8921871391148E-005</v>
      </c>
    </row>
    <row r="91" customFormat="false" ht="15.75" hidden="false" customHeight="false" outlineLevel="0" collapsed="false">
      <c r="C91" s="0" t="n">
        <v>7.9</v>
      </c>
      <c r="D91" s="3" t="n">
        <f aca="false">D$8*D$10*(1-EXP(-2*$C91/SQRT(PI()*D$9*D$10)))</f>
        <v>0.000490349061649402</v>
      </c>
      <c r="E91" s="3" t="n">
        <f aca="false">E$8*E$10*(1-EXP(-2*$C91/SQRT(PI()*E$9*E$10)))</f>
        <v>0.000373646730728445</v>
      </c>
      <c r="F91" s="3" t="n">
        <f aca="false">F$8*F$10*(1-EXP(-2*$C91/SQRT(PI()*F$9*F$10)))</f>
        <v>0.000307626281426496</v>
      </c>
      <c r="G91" s="3" t="n">
        <f aca="false">G$8*G$10*(1-EXP(-2*$C91/SQRT(PI()*G$9*G$10)))</f>
        <v>0.000186823365364223</v>
      </c>
      <c r="H91" s="3" t="n">
        <f aca="false">H$8*H$10*(1-EXP(-2*$C91/SQRT(PI()*H$9*H$10)))</f>
        <v>4.90349061649402E-005</v>
      </c>
    </row>
    <row r="92" customFormat="false" ht="15.75" hidden="false" customHeight="false" outlineLevel="0" collapsed="false">
      <c r="C92" s="0" t="n">
        <v>8</v>
      </c>
      <c r="D92" s="3" t="n">
        <f aca="false">D$8*D$10*(1-EXP(-2*$C92/SQRT(PI()*D$9*D$10)))</f>
        <v>0.000491439786892619</v>
      </c>
      <c r="E92" s="3" t="n">
        <f aca="false">E$8*E$10*(1-EXP(-2*$C92/SQRT(PI()*E$9*E$10)))</f>
        <v>0.000375986851013101</v>
      </c>
      <c r="F92" s="3" t="n">
        <f aca="false">F$8*F$10*(1-EXP(-2*$C92/SQRT(PI()*F$9*F$10)))</f>
        <v>0.000310025632824878</v>
      </c>
      <c r="G92" s="3" t="n">
        <f aca="false">G$8*G$10*(1-EXP(-2*$C92/SQRT(PI()*G$9*G$10)))</f>
        <v>0.000187993425506551</v>
      </c>
      <c r="H92" s="3" t="n">
        <f aca="false">H$8*H$10*(1-EXP(-2*$C92/SQRT(PI()*H$9*H$10)))</f>
        <v>4.91439786892619E-005</v>
      </c>
    </row>
    <row r="93" customFormat="false" ht="15.75" hidden="false" customHeight="false" outlineLevel="0" collapsed="false">
      <c r="C93" s="0" t="n">
        <v>8.1</v>
      </c>
      <c r="D93" s="3" t="n">
        <f aca="false">D$8*D$10*(1-EXP(-2*$C93/SQRT(PI()*D$9*D$10)))</f>
        <v>0.000492492278543</v>
      </c>
      <c r="E93" s="3" t="n">
        <f aca="false">E$8*E$10*(1-EXP(-2*$C93/SQRT(PI()*E$9*E$10)))</f>
        <v>0.000378289924755634</v>
      </c>
      <c r="F93" s="3" t="n">
        <f aca="false">F$8*F$10*(1-EXP(-2*$C93/SQRT(PI()*F$9*F$10)))</f>
        <v>0.000312398062616482</v>
      </c>
      <c r="G93" s="3" t="n">
        <f aca="false">G$8*G$10*(1-EXP(-2*$C93/SQRT(PI()*G$9*G$10)))</f>
        <v>0.000189144962377817</v>
      </c>
      <c r="H93" s="3" t="n">
        <f aca="false">H$8*H$10*(1-EXP(-2*$C93/SQRT(PI()*H$9*H$10)))</f>
        <v>4.92492278543E-005</v>
      </c>
    </row>
    <row r="94" customFormat="false" ht="15.75" hidden="false" customHeight="false" outlineLevel="0" collapsed="false">
      <c r="C94" s="0" t="n">
        <v>8.2</v>
      </c>
      <c r="D94" s="3" t="n">
        <f aca="false">D$8*D$10*(1-EXP(-2*$C94/SQRT(PI()*D$9*D$10)))</f>
        <v>0.000493507876816727</v>
      </c>
      <c r="E94" s="3" t="n">
        <f aca="false">E$8*E$10*(1-EXP(-2*$C94/SQRT(PI()*E$9*E$10)))</f>
        <v>0.000380556538441404</v>
      </c>
      <c r="F94" s="3" t="n">
        <f aca="false">F$8*F$10*(1-EXP(-2*$C94/SQRT(PI()*F$9*F$10)))</f>
        <v>0.000314743872871658</v>
      </c>
      <c r="G94" s="3" t="n">
        <f aca="false">G$8*G$10*(1-EXP(-2*$C94/SQRT(PI()*G$9*G$10)))</f>
        <v>0.000190278269220702</v>
      </c>
      <c r="H94" s="3" t="n">
        <f aca="false">H$8*H$10*(1-EXP(-2*$C94/SQRT(PI()*H$9*H$10)))</f>
        <v>4.93507876816727E-005</v>
      </c>
    </row>
    <row r="95" customFormat="false" ht="15.75" hidden="false" customHeight="false" outlineLevel="0" collapsed="false">
      <c r="C95" s="0" t="n">
        <v>8.3</v>
      </c>
      <c r="D95" s="3" t="n">
        <f aca="false">D$8*D$10*(1-EXP(-2*$C95/SQRT(PI()*D$9*D$10)))</f>
        <v>0.000494487874950891</v>
      </c>
      <c r="E95" s="3" t="n">
        <f aca="false">E$8*E$10*(1-EXP(-2*$C95/SQRT(PI()*E$9*E$10)))</f>
        <v>0.000382787269271093</v>
      </c>
      <c r="F95" s="3" t="n">
        <f aca="false">F$8*F$10*(1-EXP(-2*$C95/SQRT(PI()*F$9*F$10)))</f>
        <v>0.000317063362271411</v>
      </c>
      <c r="G95" s="3" t="n">
        <f aca="false">G$8*G$10*(1-EXP(-2*$C95/SQRT(PI()*G$9*G$10)))</f>
        <v>0.000191393634635546</v>
      </c>
      <c r="H95" s="3" t="n">
        <f aca="false">H$8*H$10*(1-EXP(-2*$C95/SQRT(PI()*H$9*H$10)))</f>
        <v>4.94487874950891E-005</v>
      </c>
    </row>
    <row r="96" customFormat="false" ht="15.75" hidden="false" customHeight="false" outlineLevel="0" collapsed="false">
      <c r="C96" s="0" t="n">
        <v>8.4</v>
      </c>
      <c r="D96" s="3" t="n">
        <f aca="false">D$8*D$10*(1-EXP(-2*$C96/SQRT(PI()*D$9*D$10)))</f>
        <v>0.00049543352085027</v>
      </c>
      <c r="E96" s="3" t="n">
        <f aca="false">E$8*E$10*(1-EXP(-2*$C96/SQRT(PI()*E$9*E$10)))</f>
        <v>0.000384982685307697</v>
      </c>
      <c r="F96" s="3" t="n">
        <f aca="false">F$8*F$10*(1-EXP(-2*$C96/SQRT(PI()*F$9*F$10)))</f>
        <v>0.000319356826145439</v>
      </c>
      <c r="G96" s="3" t="n">
        <f aca="false">G$8*G$10*(1-EXP(-2*$C96/SQRT(PI()*G$9*G$10)))</f>
        <v>0.000192491342653848</v>
      </c>
      <c r="H96" s="3" t="n">
        <f aca="false">H$8*H$10*(1-EXP(-2*$C96/SQRT(PI()*H$9*H$10)))</f>
        <v>4.9543352085027E-005</v>
      </c>
    </row>
    <row r="97" customFormat="false" ht="15.75" hidden="false" customHeight="false" outlineLevel="0" collapsed="false">
      <c r="C97" s="0" t="n">
        <v>8.5</v>
      </c>
      <c r="D97" s="3" t="n">
        <f aca="false">D$8*D$10*(1-EXP(-2*$C97/SQRT(PI()*D$9*D$10)))</f>
        <v>0.000496346018676375</v>
      </c>
      <c r="E97" s="3" t="n">
        <f aca="false">E$8*E$10*(1-EXP(-2*$C97/SQRT(PI()*E$9*E$10)))</f>
        <v>0.000387143345621183</v>
      </c>
      <c r="F97" s="3" t="n">
        <f aca="false">F$8*F$10*(1-EXP(-2*$C97/SQRT(PI()*F$9*F$10)))</f>
        <v>0.000321624556509729</v>
      </c>
      <c r="G97" s="3" t="n">
        <f aca="false">G$8*G$10*(1-EXP(-2*$C97/SQRT(PI()*G$9*G$10)))</f>
        <v>0.000193571672810592</v>
      </c>
      <c r="H97" s="3" t="n">
        <f aca="false">H$8*H$10*(1-EXP(-2*$C97/SQRT(PI()*H$9*H$10)))</f>
        <v>4.96346018676375E-005</v>
      </c>
    </row>
    <row r="98" customFormat="false" ht="15.75" hidden="false" customHeight="false" outlineLevel="0" collapsed="false">
      <c r="C98" s="0" t="n">
        <v>8.6</v>
      </c>
      <c r="D98" s="3" t="n">
        <f aca="false">D$8*D$10*(1-EXP(-2*$C98/SQRT(PI()*D$9*D$10)))</f>
        <v>0.000497226530380801</v>
      </c>
      <c r="E98" s="3" t="n">
        <f aca="false">E$8*E$10*(1-EXP(-2*$C98/SQRT(PI()*E$9*E$10)))</f>
        <v>0.000389269800430858</v>
      </c>
      <c r="F98" s="3" t="n">
        <f aca="false">F$8*F$10*(1-EXP(-2*$C98/SQRT(PI()*F$9*F$10)))</f>
        <v>0.000323866842103742</v>
      </c>
      <c r="G98" s="3" t="n">
        <f aca="false">G$8*G$10*(1-EXP(-2*$C98/SQRT(PI()*G$9*G$10)))</f>
        <v>0.000194634900215429</v>
      </c>
      <c r="H98" s="3" t="n">
        <f aca="false">H$8*H$10*(1-EXP(-2*$C98/SQRT(PI()*H$9*H$10)))</f>
        <v>4.97226530380801E-005</v>
      </c>
    </row>
    <row r="99" customFormat="false" ht="15.75" hidden="false" customHeight="false" outlineLevel="0" collapsed="false">
      <c r="C99" s="0" t="n">
        <v>8.7</v>
      </c>
      <c r="D99" s="3" t="n">
        <f aca="false">D$8*D$10*(1-EXP(-2*$C99/SQRT(PI()*D$9*D$10)))</f>
        <v>0.000498076177184829</v>
      </c>
      <c r="E99" s="3" t="n">
        <f aca="false">E$8*E$10*(1-EXP(-2*$C99/SQRT(PI()*E$9*E$10)))</f>
        <v>0.000391362591245484</v>
      </c>
      <c r="F99" s="3" t="n">
        <f aca="false">F$8*F$10*(1-EXP(-2*$C99/SQRT(PI()*F$9*F$10)))</f>
        <v>0.000326083968427178</v>
      </c>
      <c r="G99" s="3" t="n">
        <f aca="false">G$8*G$10*(1-EXP(-2*$C99/SQRT(PI()*G$9*G$10)))</f>
        <v>0.000195681295622742</v>
      </c>
      <c r="H99" s="3" t="n">
        <f aca="false">H$8*H$10*(1-EXP(-2*$C99/SQRT(PI()*H$9*H$10)))</f>
        <v>4.98076177184829E-005</v>
      </c>
    </row>
    <row r="100" customFormat="false" ht="15.75" hidden="false" customHeight="false" outlineLevel="0" collapsed="false">
      <c r="C100" s="0" t="n">
        <v>8.8</v>
      </c>
      <c r="D100" s="3" t="n">
        <f aca="false">D$8*D$10*(1-EXP(-2*$C100/SQRT(PI()*D$9*D$10)))</f>
        <v>0.000498896041007156</v>
      </c>
      <c r="E100" s="3" t="n">
        <f aca="false">E$8*E$10*(1-EXP(-2*$C100/SQRT(PI()*E$9*E$10)))</f>
        <v>0.000393422251001174</v>
      </c>
      <c r="F100" s="3" t="n">
        <f aca="false">F$8*F$10*(1-EXP(-2*$C100/SQRT(PI()*F$9*F$10)))</f>
        <v>0.000328276217776322</v>
      </c>
      <c r="G100" s="3" t="n">
        <f aca="false">G$8*G$10*(1-EXP(-2*$C100/SQRT(PI()*G$9*G$10)))</f>
        <v>0.000196711125500587</v>
      </c>
      <c r="H100" s="3" t="n">
        <f aca="false">H$8*H$10*(1-EXP(-2*$C100/SQRT(PI()*H$9*H$10)))</f>
        <v>4.98896041007156E-005</v>
      </c>
    </row>
    <row r="101" customFormat="false" ht="15.75" hidden="false" customHeight="false" outlineLevel="0" collapsed="false">
      <c r="C101" s="0" t="n">
        <v>8.9</v>
      </c>
      <c r="D101" s="3" t="n">
        <f aca="false">D$8*D$10*(1-EXP(-2*$C101/SQRT(PI()*D$9*D$10)))</f>
        <v>0.000499687165841585</v>
      </c>
      <c r="E101" s="3" t="n">
        <f aca="false">E$8*E$10*(1-EXP(-2*$C101/SQRT(PI()*E$9*E$10)))</f>
        <v>0.000395449304197108</v>
      </c>
      <c r="F101" s="3" t="n">
        <f aca="false">F$8*F$10*(1-EXP(-2*$C101/SQRT(PI()*F$9*F$10)))</f>
        <v>0.000330443869279992</v>
      </c>
      <c r="G101" s="3" t="n">
        <f aca="false">G$8*G$10*(1-EXP(-2*$C101/SQRT(PI()*G$9*G$10)))</f>
        <v>0.000197724652098554</v>
      </c>
      <c r="H101" s="3" t="n">
        <f aca="false">H$8*H$10*(1-EXP(-2*$C101/SQRT(PI()*H$9*H$10)))</f>
        <v>4.99687165841585E-005</v>
      </c>
    </row>
    <row r="102" customFormat="false" ht="15.75" hidden="false" customHeight="false" outlineLevel="0" collapsed="false">
      <c r="C102" s="0" t="n">
        <v>9</v>
      </c>
      <c r="D102" s="3" t="n">
        <f aca="false">D$8*D$10*(1-EXP(-2*$C102/SQRT(PI()*D$9*D$10)))</f>
        <v>0.000500450559086423</v>
      </c>
      <c r="E102" s="3" t="n">
        <f aca="false">E$8*E$10*(1-EXP(-2*$C102/SQRT(PI()*E$9*E$10)))</f>
        <v>0.000397444267029099</v>
      </c>
      <c r="F102" s="3" t="n">
        <f aca="false">F$8*F$10*(1-EXP(-2*$C102/SQRT(PI()*F$9*F$10)))</f>
        <v>0.000332587198935077</v>
      </c>
      <c r="G102" s="3" t="n">
        <f aca="false">G$8*G$10*(1-EXP(-2*$C102/SQRT(PI()*G$9*G$10)))</f>
        <v>0.000198722133514549</v>
      </c>
      <c r="H102" s="3" t="n">
        <f aca="false">H$8*H$10*(1-EXP(-2*$C102/SQRT(PI()*H$9*H$10)))</f>
        <v>5.00450559086423E-005</v>
      </c>
    </row>
    <row r="103" customFormat="false" ht="15.75" hidden="false" customHeight="false" outlineLevel="0" collapsed="false">
      <c r="C103" s="0" t="n">
        <v>9.1</v>
      </c>
      <c r="D103" s="3" t="n">
        <f aca="false">D$8*D$10*(1-EXP(-2*$C103/SQRT(PI()*D$9*D$10)))</f>
        <v>0.000501187192827272</v>
      </c>
      <c r="E103" s="3" t="n">
        <f aca="false">E$8*E$10*(1-EXP(-2*$C103/SQRT(PI()*E$9*E$10)))</f>
        <v>0.000399407647521039</v>
      </c>
      <c r="F103" s="3" t="n">
        <f aca="false">F$8*F$10*(1-EXP(-2*$C103/SQRT(PI()*F$9*F$10)))</f>
        <v>0.000334706479641682</v>
      </c>
      <c r="G103" s="3" t="n">
        <f aca="false">G$8*G$10*(1-EXP(-2*$C103/SQRT(PI()*G$9*G$10)))</f>
        <v>0.00019970382376052</v>
      </c>
      <c r="H103" s="3" t="n">
        <f aca="false">H$8*H$10*(1-EXP(-2*$C103/SQRT(PI()*H$9*H$10)))</f>
        <v>5.01187192827272E-005</v>
      </c>
    </row>
    <row r="104" customFormat="false" ht="15.75" hidden="false" customHeight="false" outlineLevel="0" collapsed="false">
      <c r="C104" s="0" t="n">
        <v>9.2</v>
      </c>
      <c r="D104" s="3" t="n">
        <f aca="false">D$8*D$10*(1-EXP(-2*$C104/SQRT(PI()*D$9*D$10)))</f>
        <v>0.00050189800507486</v>
      </c>
      <c r="E104" s="3" t="n">
        <f aca="false">E$8*E$10*(1-EXP(-2*$C104/SQRT(PI()*E$9*E$10)))</f>
        <v>0.000401339945654276</v>
      </c>
      <c r="F104" s="3" t="n">
        <f aca="false">F$8*F$10*(1-EXP(-2*$C104/SQRT(PI()*F$9*F$10)))</f>
        <v>0.000336801981237869</v>
      </c>
      <c r="G104" s="3" t="n">
        <f aca="false">G$8*G$10*(1-EXP(-2*$C104/SQRT(PI()*G$9*G$10)))</f>
        <v>0.000200669972827138</v>
      </c>
      <c r="H104" s="3" t="n">
        <f aca="false">H$8*H$10*(1-EXP(-2*$C104/SQRT(PI()*H$9*H$10)))</f>
        <v>5.0189800507486E-005</v>
      </c>
    </row>
    <row r="105" customFormat="false" ht="15.75" hidden="false" customHeight="false" outlineLevel="0" collapsed="false">
      <c r="C105" s="0" t="n">
        <v>9.3</v>
      </c>
      <c r="D105" s="3" t="n">
        <f aca="false">D$8*D$10*(1-EXP(-2*$C105/SQRT(PI()*D$9*D$10)))</f>
        <v>0.000502583900959482</v>
      </c>
      <c r="E105" s="3" t="n">
        <f aca="false">E$8*E$10*(1-EXP(-2*$C105/SQRT(PI()*E$9*E$10)))</f>
        <v>0.00040324165349493</v>
      </c>
      <c r="F105" s="3" t="n">
        <f aca="false">F$8*F$10*(1-EXP(-2*$C105/SQRT(PI()*F$9*F$10)))</f>
        <v>0.000338873970534018</v>
      </c>
      <c r="G105" s="3" t="n">
        <f aca="false">G$8*G$10*(1-EXP(-2*$C105/SQRT(PI()*G$9*G$10)))</f>
        <v>0.000201620826747465</v>
      </c>
      <c r="H105" s="3" t="n">
        <f aca="false">H$8*H$10*(1-EXP(-2*$C105/SQRT(PI()*H$9*H$10)))</f>
        <v>5.02583900959482E-005</v>
      </c>
    </row>
    <row r="106" customFormat="false" ht="15.75" hidden="false" customHeight="false" outlineLevel="0" collapsed="false">
      <c r="C106" s="0" t="n">
        <v>9.4</v>
      </c>
      <c r="D106" s="3" t="n">
        <f aca="false">D$8*D$10*(1-EXP(-2*$C106/SQRT(PI()*D$9*D$10)))</f>
        <v>0.000503245753883565</v>
      </c>
      <c r="E106" s="3" t="n">
        <f aca="false">E$8*E$10*(1-EXP(-2*$C106/SQRT(PI()*E$9*E$10)))</f>
        <v>0.000405113255319204</v>
      </c>
      <c r="F106" s="3" t="n">
        <f aca="false">F$8*F$10*(1-EXP(-2*$C106/SQRT(PI()*F$9*F$10)))</f>
        <v>0.000340922711346801</v>
      </c>
      <c r="G106" s="3" t="n">
        <f aca="false">G$8*G$10*(1-EXP(-2*$C106/SQRT(PI()*G$9*G$10)))</f>
        <v>0.000202556627659602</v>
      </c>
      <c r="H106" s="3" t="n">
        <f aca="false">H$8*H$10*(1-EXP(-2*$C106/SQRT(PI()*H$9*H$10)))</f>
        <v>5.03245753883565E-005</v>
      </c>
    </row>
    <row r="107" customFormat="false" ht="15.75" hidden="false" customHeight="false" outlineLevel="0" collapsed="false">
      <c r="C107" s="0" t="n">
        <v>9.5</v>
      </c>
      <c r="D107" s="3" t="n">
        <f aca="false">D$8*D$10*(1-EXP(-2*$C107/SQRT(PI()*D$9*D$10)))</f>
        <v>0.000503884406633843</v>
      </c>
      <c r="E107" s="3" t="n">
        <f aca="false">E$8*E$10*(1-EXP(-2*$C107/SQRT(PI()*E$9*E$10)))</f>
        <v>0.000406955227736701</v>
      </c>
      <c r="F107" s="3" t="n">
        <f aca="false">F$8*F$10*(1-EXP(-2*$C107/SQRT(PI()*F$9*F$10)))</f>
        <v>0.000342948464532766</v>
      </c>
      <c r="G107" s="3" t="n">
        <f aca="false">G$8*G$10*(1-EXP(-2*$C107/SQRT(PI()*G$9*G$10)))</f>
        <v>0.000203477613868351</v>
      </c>
      <c r="H107" s="3" t="n">
        <f aca="false">H$8*H$10*(1-EXP(-2*$C107/SQRT(PI()*H$9*H$10)))</f>
        <v>5.03884406633843E-005</v>
      </c>
    </row>
    <row r="108" customFormat="false" ht="15.75" hidden="false" customHeight="false" outlineLevel="0" collapsed="false">
      <c r="C108" s="0" t="n">
        <v>9.6</v>
      </c>
      <c r="D108" s="3" t="n">
        <f aca="false">D$8*D$10*(1-EXP(-2*$C108/SQRT(PI()*D$9*D$10)))</f>
        <v>0.000504500672454535</v>
      </c>
      <c r="E108" s="3" t="n">
        <f aca="false">E$8*E$10*(1-EXP(-2*$C108/SQRT(PI()*E$9*E$10)))</f>
        <v>0.0004087680398118</v>
      </c>
      <c r="F108" s="3" t="n">
        <f aca="false">F$8*F$10*(1-EXP(-2*$C108/SQRT(PI()*F$9*F$10)))</f>
        <v>0.000344951488021556</v>
      </c>
      <c r="G108" s="3" t="n">
        <f aca="false">G$8*G$10*(1-EXP(-2*$C108/SQRT(PI()*G$9*G$10)))</f>
        <v>0.0002043840199059</v>
      </c>
      <c r="H108" s="3" t="n">
        <f aca="false">H$8*H$10*(1-EXP(-2*$C108/SQRT(PI()*H$9*H$10)))</f>
        <v>5.04500672454535E-005</v>
      </c>
    </row>
    <row r="109" customFormat="false" ht="15.75" hidden="false" customHeight="false" outlineLevel="0" collapsed="false">
      <c r="C109" s="0" t="n">
        <v>9.7</v>
      </c>
      <c r="D109" s="3" t="n">
        <f aca="false">D$8*D$10*(1-EXP(-2*$C109/SQRT(PI()*D$9*D$10)))</f>
        <v>0.000505095336082911</v>
      </c>
      <c r="E109" s="3" t="n">
        <f aca="false">E$8*E$10*(1-EXP(-2*$C109/SQRT(PI()*E$9*E$10)))</f>
        <v>0.000410552153183102</v>
      </c>
      <c r="F109" s="3" t="n">
        <f aca="false">F$8*F$10*(1-EXP(-2*$C109/SQRT(PI()*F$9*F$10)))</f>
        <v>0.00034693203684875</v>
      </c>
      <c r="G109" s="3" t="n">
        <f aca="false">G$8*G$10*(1-EXP(-2*$C109/SQRT(PI()*G$9*G$10)))</f>
        <v>0.000205276076591551</v>
      </c>
      <c r="H109" s="3" t="n">
        <f aca="false">H$8*H$10*(1-EXP(-2*$C109/SQRT(PI()*H$9*H$10)))</f>
        <v>5.05095336082911E-005</v>
      </c>
    </row>
    <row r="110" customFormat="false" ht="15.75" hidden="false" customHeight="false" outlineLevel="0" collapsed="false">
      <c r="C110" s="0" t="n">
        <v>9.8</v>
      </c>
      <c r="D110" s="3" t="n">
        <f aca="false">D$8*D$10*(1-EXP(-2*$C110/SQRT(PI()*D$9*D$10)))</f>
        <v>0.000505669154748559</v>
      </c>
      <c r="E110" s="3" t="n">
        <f aca="false">E$8*E$10*(1-EXP(-2*$C110/SQRT(PI()*E$9*E$10)))</f>
        <v>0.000412308022180987</v>
      </c>
      <c r="F110" s="3" t="n">
        <f aca="false">F$8*F$10*(1-EXP(-2*$C110/SQRT(PI()*F$9*F$10)))</f>
        <v>0.000348890363188332</v>
      </c>
      <c r="G110" s="3" t="n">
        <f aca="false">G$8*G$10*(1-EXP(-2*$C110/SQRT(PI()*G$9*G$10)))</f>
        <v>0.000206154011090493</v>
      </c>
      <c r="H110" s="3" t="n">
        <f aca="false">H$8*H$10*(1-EXP(-2*$C110/SQRT(PI()*H$9*H$10)))</f>
        <v>5.05669154748559E-005</v>
      </c>
    </row>
    <row r="111" customFormat="false" ht="15.75" hidden="false" customHeight="false" outlineLevel="0" collapsed="false">
      <c r="C111" s="0" t="n">
        <v>9.9</v>
      </c>
      <c r="D111" s="3" t="n">
        <f aca="false">D$8*D$10*(1-EXP(-2*$C111/SQRT(PI()*D$9*D$10)))</f>
        <v>0.000506222859137619</v>
      </c>
      <c r="E111" s="3" t="n">
        <f aca="false">E$8*E$10*(1-EXP(-2*$C111/SQRT(PI()*E$9*E$10)))</f>
        <v>0.000414036093943311</v>
      </c>
      <c r="F111" s="3" t="n">
        <f aca="false">F$8*F$10*(1-EXP(-2*$C111/SQRT(PI()*F$9*F$10)))</f>
        <v>0.0003508267163848</v>
      </c>
      <c r="G111" s="3" t="n">
        <f aca="false">G$8*G$10*(1-EXP(-2*$C111/SQRT(PI()*G$9*G$10)))</f>
        <v>0.000207018046971655</v>
      </c>
      <c r="H111" s="3" t="n">
        <f aca="false">H$8*H$10*(1-EXP(-2*$C111/SQRT(PI()*H$9*H$10)))</f>
        <v>5.06222859137619E-005</v>
      </c>
    </row>
    <row r="112" customFormat="false" ht="15.75" hidden="false" customHeight="false" outlineLevel="0" collapsed="false">
      <c r="C112" s="0" t="n">
        <v>10</v>
      </c>
      <c r="D112" s="3" t="n">
        <f aca="false">D$8*D$10*(1-EXP(-2*$C112/SQRT(PI()*D$9*D$10)))</f>
        <v>0.00050675715432322</v>
      </c>
      <c r="E112" s="3" t="n">
        <f aca="false">E$8*E$10*(1-EXP(-2*$C112/SQRT(PI()*E$9*E$10)))</f>
        <v>0.000415736808529274</v>
      </c>
      <c r="F112" s="3" t="n">
        <f aca="false">F$8*F$10*(1-EXP(-2*$C112/SQRT(PI()*F$9*F$10)))</f>
        <v>0.000352741342984917</v>
      </c>
      <c r="G112" s="3" t="n">
        <f aca="false">G$8*G$10*(1-EXP(-2*$C112/SQRT(PI()*G$9*G$10)))</f>
        <v>0.000207868404264637</v>
      </c>
      <c r="H112" s="3" t="n">
        <f aca="false">H$8*H$10*(1-EXP(-2*$C112/SQRT(PI()*H$9*H$10)))</f>
        <v>5.0675715432322E-005</v>
      </c>
    </row>
    <row r="113" customFormat="false" ht="15.75" hidden="false" customHeight="false" outlineLevel="0" collapsed="false">
      <c r="C113" s="0" t="n">
        <v>10.1</v>
      </c>
      <c r="D113" s="3" t="n">
        <f aca="false">D$8*D$10*(1-EXP(-2*$C113/SQRT(PI()*D$9*D$10)))</f>
        <v>0.000507272720663305</v>
      </c>
      <c r="E113" s="3" t="n">
        <f aca="false">E$8*E$10*(1-EXP(-2*$C113/SQRT(PI()*E$9*E$10)))</f>
        <v>0.00041741059903148</v>
      </c>
      <c r="F113" s="3" t="n">
        <f aca="false">F$8*F$10*(1-EXP(-2*$C113/SQRT(PI()*F$9*F$10)))</f>
        <v>0.0003546344867691</v>
      </c>
      <c r="G113" s="3" t="n">
        <f aca="false">G$8*G$10*(1-EXP(-2*$C113/SQRT(PI()*G$9*G$10)))</f>
        <v>0.00020870529951574</v>
      </c>
      <c r="H113" s="3" t="n">
        <f aca="false">H$8*H$10*(1-EXP(-2*$C113/SQRT(PI()*H$9*H$10)))</f>
        <v>5.07272720663305E-005</v>
      </c>
    </row>
    <row r="114" customFormat="false" ht="15.75" hidden="false" customHeight="false" outlineLevel="0" collapsed="false">
      <c r="C114" s="0" t="n">
        <v>10.2</v>
      </c>
      <c r="D114" s="3" t="n">
        <f aca="false">D$8*D$10*(1-EXP(-2*$C114/SQRT(PI()*D$9*D$10)))</f>
        <v>0.00050777021466698</v>
      </c>
      <c r="E114" s="3" t="n">
        <f aca="false">E$8*E$10*(1-EXP(-2*$C114/SQRT(PI()*E$9*E$10)))</f>
        <v>0.000419057891686224</v>
      </c>
      <c r="F114" s="3" t="n">
        <f aca="false">F$8*F$10*(1-EXP(-2*$C114/SQRT(PI()*F$9*F$10)))</f>
        <v>0.000356506388782459</v>
      </c>
      <c r="G114" s="3" t="n">
        <f aca="false">G$8*G$10*(1-EXP(-2*$C114/SQRT(PI()*G$9*G$10)))</f>
        <v>0.000209528945843112</v>
      </c>
      <c r="H114" s="3" t="n">
        <f aca="false">H$8*H$10*(1-EXP(-2*$C114/SQRT(PI()*H$9*H$10)))</f>
        <v>5.0777021466698E-005</v>
      </c>
    </row>
    <row r="115" customFormat="false" ht="15.75" hidden="false" customHeight="false" outlineLevel="0" collapsed="false">
      <c r="C115" s="0" t="n">
        <v>10.3</v>
      </c>
      <c r="D115" s="3" t="n">
        <f aca="false">D$8*D$10*(1-EXP(-2*$C115/SQRT(PI()*D$9*D$10)))</f>
        <v>0.000508250269830494</v>
      </c>
      <c r="E115" s="3" t="n">
        <f aca="false">E$8*E$10*(1-EXP(-2*$C115/SQRT(PI()*E$9*E$10)))</f>
        <v>0.000420679105982039</v>
      </c>
      <c r="F115" s="3" t="n">
        <f aca="false">F$8*F$10*(1-EXP(-2*$C115/SQRT(PI()*F$9*F$10)))</f>
        <v>0.00035835728736549</v>
      </c>
      <c r="G115" s="3" t="n">
        <f aca="false">G$8*G$10*(1-EXP(-2*$C115/SQRT(PI()*G$9*G$10)))</f>
        <v>0.00021033955299102</v>
      </c>
      <c r="H115" s="3" t="n">
        <f aca="false">H$8*H$10*(1-EXP(-2*$C115/SQRT(PI()*H$9*H$10)))</f>
        <v>5.08250269830494E-005</v>
      </c>
    </row>
    <row r="116" customFormat="false" ht="15.75" hidden="false" customHeight="false" outlineLevel="0" collapsed="false">
      <c r="C116" s="0" t="n">
        <v>10.4</v>
      </c>
      <c r="D116" s="3" t="n">
        <f aca="false">D$8*D$10*(1-EXP(-2*$C116/SQRT(PI()*D$9*D$10)))</f>
        <v>0.000508713497443923</v>
      </c>
      <c r="E116" s="3" t="n">
        <f aca="false">E$8*E$10*(1-EXP(-2*$C116/SQRT(PI()*E$9*E$10)))</f>
        <v>0.000422274654766515</v>
      </c>
      <c r="F116" s="3" t="n">
        <f aca="false">F$8*F$10*(1-EXP(-2*$C116/SQRT(PI()*F$9*F$10)))</f>
        <v>0.00036018741818442</v>
      </c>
      <c r="G116" s="3" t="n">
        <f aca="false">G$8*G$10*(1-EXP(-2*$C116/SQRT(PI()*G$9*G$10)))</f>
        <v>0.000211137327383258</v>
      </c>
      <c r="H116" s="3" t="n">
        <f aca="false">H$8*H$10*(1-EXP(-2*$C116/SQRT(PI()*H$9*H$10)))</f>
        <v>5.08713497443923E-005</v>
      </c>
    </row>
    <row r="117" customFormat="false" ht="15.75" hidden="false" customHeight="false" outlineLevel="0" collapsed="false">
      <c r="C117" s="0" t="n">
        <v>10.5</v>
      </c>
      <c r="D117" s="3" t="n">
        <f aca="false">D$8*D$10*(1-EXP(-2*$C117/SQRT(PI()*D$9*D$10)))</f>
        <v>0.000509160487369563</v>
      </c>
      <c r="E117" s="3" t="n">
        <f aca="false">E$8*E$10*(1-EXP(-2*$C117/SQRT(PI()*E$9*E$10)))</f>
        <v>0.000423844944351437</v>
      </c>
      <c r="F117" s="3" t="n">
        <f aca="false">F$8*F$10*(1-EXP(-2*$C117/SQRT(PI()*F$9*F$10)))</f>
        <v>0.000361997014261214</v>
      </c>
      <c r="G117" s="3" t="n">
        <f aca="false">G$8*G$10*(1-EXP(-2*$C117/SQRT(PI()*G$9*G$10)))</f>
        <v>0.000211922472175718</v>
      </c>
      <c r="H117" s="3" t="n">
        <f aca="false">H$8*H$10*(1-EXP(-2*$C117/SQRT(PI()*H$9*H$10)))</f>
        <v>5.09160487369563E-005</v>
      </c>
    </row>
    <row r="118" customFormat="false" ht="15.75" hidden="false" customHeight="false" outlineLevel="0" collapsed="false">
      <c r="C118" s="0" t="n">
        <v>10.6</v>
      </c>
      <c r="D118" s="3" t="n">
        <f aca="false">D$8*D$10*(1-EXP(-2*$C118/SQRT(PI()*D$9*D$10)))</f>
        <v>0.000509591808793053</v>
      </c>
      <c r="E118" s="3" t="n">
        <f aca="false">E$8*E$10*(1-EXP(-2*$C118/SQRT(PI()*E$9*E$10)))</f>
        <v>0.000425390374616248</v>
      </c>
      <c r="F118" s="3" t="n">
        <f aca="false">F$8*F$10*(1-EXP(-2*$C118/SQRT(PI()*F$9*F$10)))</f>
        <v>0.000363786306003247</v>
      </c>
      <c r="G118" s="3" t="n">
        <f aca="false">G$8*G$10*(1-EXP(-2*$C118/SQRT(PI()*G$9*G$10)))</f>
        <v>0.000212695187308124</v>
      </c>
      <c r="H118" s="3" t="n">
        <f aca="false">H$8*H$10*(1-EXP(-2*$C118/SQRT(PI()*H$9*H$10)))</f>
        <v>5.09591808793053E-005</v>
      </c>
    </row>
    <row r="119" customFormat="false" ht="15.75" hidden="false" customHeight="false" outlineLevel="0" collapsed="false">
      <c r="C119" s="0" t="n">
        <v>10.7</v>
      </c>
      <c r="D119" s="3" t="n">
        <f aca="false">D$8*D$10*(1-EXP(-2*$C119/SQRT(PI()*D$9*D$10)))</f>
        <v>0.000510008010948157</v>
      </c>
      <c r="E119" s="3" t="n">
        <f aca="false">E$8*E$10*(1-EXP(-2*$C119/SQRT(PI()*E$9*E$10)))</f>
        <v>0.000426911339109886</v>
      </c>
      <c r="F119" s="3" t="n">
        <f aca="false">F$8*F$10*(1-EXP(-2*$C119/SQRT(PI()*F$9*F$10)))</f>
        <v>0.000365555521232635</v>
      </c>
      <c r="G119" s="3" t="n">
        <f aca="false">G$8*G$10*(1-EXP(-2*$C119/SQRT(PI()*G$9*G$10)))</f>
        <v>0.000213455669554943</v>
      </c>
      <c r="H119" s="3" t="n">
        <f aca="false">H$8*H$10*(1-EXP(-2*$C119/SQRT(PI()*H$9*H$10)))</f>
        <v>5.10008010948157E-005</v>
      </c>
    </row>
    <row r="120" customFormat="false" ht="15.75" hidden="false" customHeight="false" outlineLevel="0" collapsed="false">
      <c r="C120" s="0" t="n">
        <v>10.8</v>
      </c>
      <c r="D120" s="3" t="n">
        <f aca="false">D$8*D$10*(1-EXP(-2*$C120/SQRT(PI()*D$9*D$10)))</f>
        <v>0.000510409623816148</v>
      </c>
      <c r="E120" s="3" t="n">
        <f aca="false">E$8*E$10*(1-EXP(-2*$C120/SQRT(PI()*E$9*E$10)))</f>
        <v>0.000428408225150998</v>
      </c>
      <c r="F120" s="3" t="n">
        <f aca="false">F$8*F$10*(1-EXP(-2*$C120/SQRT(PI()*F$9*F$10)))</f>
        <v>0.000367304885215247</v>
      </c>
      <c r="G120" s="3" t="n">
        <f aca="false">G$8*G$10*(1-EXP(-2*$C120/SQRT(PI()*G$9*G$10)))</f>
        <v>0.000214204112575499</v>
      </c>
      <c r="H120" s="3" t="n">
        <f aca="false">H$8*H$10*(1-EXP(-2*$C120/SQRT(PI()*H$9*H$10)))</f>
        <v>5.10409623816148E-005</v>
      </c>
    </row>
    <row r="121" customFormat="false" ht="15.75" hidden="false" customHeight="false" outlineLevel="0" collapsed="false">
      <c r="C121" s="0" t="n">
        <v>10.9</v>
      </c>
      <c r="D121" s="3" t="n">
        <f aca="false">D$8*D$10*(1-EXP(-2*$C121/SQRT(PI()*D$9*D$10)))</f>
        <v>0.000510797158800667</v>
      </c>
      <c r="E121" s="3" t="n">
        <f aca="false">E$8*E$10*(1-EXP(-2*$C121/SQRT(PI()*E$9*E$10)))</f>
        <v>0.000429881413926573</v>
      </c>
      <c r="F121" s="3" t="n">
        <f aca="false">F$8*F$10*(1-EXP(-2*$C121/SQRT(PI()*F$9*F$10)))</f>
        <v>0.000369034620689388</v>
      </c>
      <c r="G121" s="3" t="n">
        <f aca="false">G$8*G$10*(1-EXP(-2*$C121/SQRT(PI()*G$9*G$10)))</f>
        <v>0.000214940706963286</v>
      </c>
      <c r="H121" s="3" t="n">
        <f aca="false">H$8*H$10*(1-EXP(-2*$C121/SQRT(PI()*H$9*H$10)))</f>
        <v>5.10797158800667E-005</v>
      </c>
    </row>
    <row r="122" customFormat="false" ht="15.75" hidden="false" customHeight="false" outlineLevel="0" collapsed="false">
      <c r="C122" s="0" t="n">
        <v>11</v>
      </c>
      <c r="D122" s="3" t="n">
        <f aca="false">D$8*D$10*(1-EXP(-2*$C122/SQRT(PI()*D$9*D$10)))</f>
        <v>0.00051117110937894</v>
      </c>
      <c r="E122" s="3" t="n">
        <f aca="false">E$8*E$10*(1-EXP(-2*$C122/SQRT(PI()*E$9*E$10)))</f>
        <v>0.000431331280589012</v>
      </c>
      <c r="F122" s="3" t="n">
        <f aca="false">F$8*F$10*(1-EXP(-2*$C122/SQRT(PI()*F$9*F$10)))</f>
        <v>0.000370744947894155</v>
      </c>
      <c r="G122" s="3" t="n">
        <f aca="false">G$8*G$10*(1-EXP(-2*$C122/SQRT(PI()*G$9*G$10)))</f>
        <v>0.000215665640294506</v>
      </c>
      <c r="H122" s="3" t="n">
        <f aca="false">H$8*H$10*(1-EXP(-2*$C122/SQRT(PI()*H$9*H$10)))</f>
        <v>5.1117110937894E-005</v>
      </c>
    </row>
    <row r="123" customFormat="false" ht="15.75" hidden="false" customHeight="false" outlineLevel="0" collapsed="false">
      <c r="C123" s="0" t="n">
        <v>11.1</v>
      </c>
      <c r="D123" s="3" t="n">
        <f aca="false">D$8*D$10*(1-EXP(-2*$C123/SQRT(PI()*D$9*D$10)))</f>
        <v>0.00051153195173015</v>
      </c>
      <c r="E123" s="3" t="n">
        <f aca="false">E$8*E$10*(1-EXP(-2*$C123/SQRT(PI()*E$9*E$10)))</f>
        <v>0.000432758194351665</v>
      </c>
      <c r="F123" s="3" t="n">
        <f aca="false">F$8*F$10*(1-EXP(-2*$C123/SQRT(PI()*F$9*F$10)))</f>
        <v>0.000372436084597481</v>
      </c>
      <c r="G123" s="3" t="n">
        <f aca="false">G$8*G$10*(1-EXP(-2*$C123/SQRT(PI()*G$9*G$10)))</f>
        <v>0.000216379097175833</v>
      </c>
      <c r="H123" s="3" t="n">
        <f aca="false">H$8*H$10*(1-EXP(-2*$C123/SQRT(PI()*H$9*H$10)))</f>
        <v>5.1153195173015E-005</v>
      </c>
    </row>
    <row r="124" customFormat="false" ht="15.75" hidden="false" customHeight="false" outlineLevel="0" collapsed="false">
      <c r="C124" s="0" t="n">
        <v>11.2</v>
      </c>
      <c r="D124" s="3" t="n">
        <f aca="false">D$8*D$10*(1-EXP(-2*$C124/SQRT(PI()*D$9*D$10)))</f>
        <v>0.0005118801453418</v>
      </c>
      <c r="E124" s="3" t="n">
        <f aca="false">E$8*E$10*(1-EXP(-2*$C124/SQRT(PI()*E$9*E$10)))</f>
        <v>0.000434162518582848</v>
      </c>
      <c r="F124" s="3" t="n">
        <f aca="false">F$8*F$10*(1-EXP(-2*$C124/SQRT(PI()*F$9*F$10)))</f>
        <v>0.000374108246123864</v>
      </c>
      <c r="G124" s="3" t="n">
        <f aca="false">G$8*G$10*(1-EXP(-2*$C124/SQRT(PI()*G$9*G$10)))</f>
        <v>0.000217081259291424</v>
      </c>
      <c r="H124" s="3" t="n">
        <f aca="false">H$8*H$10*(1-EXP(-2*$C124/SQRT(PI()*H$9*H$10)))</f>
        <v>5.11880145341799E-005</v>
      </c>
    </row>
    <row r="125" customFormat="false" ht="15.75" hidden="false" customHeight="false" outlineLevel="0" collapsed="false">
      <c r="C125" s="0" t="n">
        <v>11.3</v>
      </c>
      <c r="D125" s="3" t="n">
        <f aca="false">D$8*D$10*(1-EXP(-2*$C125/SQRT(PI()*D$9*D$10)))</f>
        <v>0.000512216133594805</v>
      </c>
      <c r="E125" s="3" t="n">
        <f aca="false">E$8*E$10*(1-EXP(-2*$C125/SQRT(PI()*E$9*E$10)))</f>
        <v>0.00043554461089838</v>
      </c>
      <c r="F125" s="3" t="n">
        <f aca="false">F$8*F$10*(1-EXP(-2*$C125/SQRT(PI()*F$9*F$10)))</f>
        <v>0.000375761645381781</v>
      </c>
      <c r="G125" s="3" t="n">
        <f aca="false">G$8*G$10*(1-EXP(-2*$C125/SQRT(PI()*G$9*G$10)))</f>
        <v>0.00021777230544919</v>
      </c>
      <c r="H125" s="3" t="n">
        <f aca="false">H$8*H$10*(1-EXP(-2*$C125/SQRT(PI()*H$9*H$10)))</f>
        <v>5.12216133594805E-005</v>
      </c>
    </row>
    <row r="126" customFormat="false" ht="15.75" hidden="false" customHeight="false" outlineLevel="0" collapsed="false">
      <c r="C126" s="0" t="n">
        <v>11.4</v>
      </c>
      <c r="D126" s="3" t="n">
        <f aca="false">D$8*D$10*(1-EXP(-2*$C126/SQRT(PI()*D$9*D$10)))</f>
        <v>0.000512540344328088</v>
      </c>
      <c r="E126" s="3" t="n">
        <f aca="false">E$8*E$10*(1-EXP(-2*$C126/SQRT(PI()*E$9*E$10)))</f>
        <v>0.000436904823252646</v>
      </c>
      <c r="F126" s="3" t="n">
        <f aca="false">F$8*F$10*(1-EXP(-2*$C126/SQRT(PI()*F$9*F$10)))</f>
        <v>0.000377396492890797</v>
      </c>
      <c r="G126" s="3" t="n">
        <f aca="false">G$8*G$10*(1-EXP(-2*$C126/SQRT(PI()*G$9*G$10)))</f>
        <v>0.000218452411626323</v>
      </c>
      <c r="H126" s="3" t="n">
        <f aca="false">H$8*H$10*(1-EXP(-2*$C126/SQRT(PI()*H$9*H$10)))</f>
        <v>5.12540344328088E-005</v>
      </c>
    </row>
    <row r="127" customFormat="false" ht="15.75" hidden="false" customHeight="false" outlineLevel="0" collapsed="false">
      <c r="C127" s="0" t="n">
        <v>11.5</v>
      </c>
      <c r="D127" s="3" t="n">
        <f aca="false">D$8*D$10*(1-EXP(-2*$C127/SQRT(PI()*D$9*D$10)))</f>
        <v>0.000512853190383376</v>
      </c>
      <c r="E127" s="3" t="n">
        <f aca="false">E$8*E$10*(1-EXP(-2*$C127/SQRT(PI()*E$9*E$10)))</f>
        <v>0.000438243502028229</v>
      </c>
      <c r="F127" s="3" t="n">
        <f aca="false">F$8*F$10*(1-EXP(-2*$C127/SQRT(PI()*F$9*F$10)))</f>
        <v>0.000379012996808371</v>
      </c>
      <c r="G127" s="3" t="n">
        <f aca="false">G$8*G$10*(1-EXP(-2*$C127/SQRT(PI()*G$9*G$10)))</f>
        <v>0.000219121751014114</v>
      </c>
      <c r="H127" s="3" t="n">
        <f aca="false">H$8*H$10*(1-EXP(-2*$C127/SQRT(PI()*H$9*H$10)))</f>
        <v>5.12853190383377E-005</v>
      </c>
    </row>
    <row r="128" customFormat="false" ht="15.75" hidden="false" customHeight="false" outlineLevel="0" collapsed="false">
      <c r="C128" s="0" t="n">
        <v>11.6</v>
      </c>
      <c r="D128" s="3" t="n">
        <f aca="false">D$8*D$10*(1-EXP(-2*$C128/SQRT(PI()*D$9*D$10)))</f>
        <v>0.000513155070130906</v>
      </c>
      <c r="E128" s="3" t="n">
        <f aca="false">E$8*E$10*(1-EXP(-2*$C128/SQRT(PI()*E$9*E$10)))</f>
        <v>0.000439560988124113</v>
      </c>
      <c r="F128" s="3" t="n">
        <f aca="false">F$8*F$10*(1-EXP(-2*$C128/SQRT(PI()*F$9*F$10)))</f>
        <v>0.000380611362956358</v>
      </c>
      <c r="G128" s="3" t="n">
        <f aca="false">G$8*G$10*(1-EXP(-2*$C128/SQRT(PI()*G$9*G$10)))</f>
        <v>0.000219780494062057</v>
      </c>
      <c r="H128" s="3" t="n">
        <f aca="false">H$8*H$10*(1-EXP(-2*$C128/SQRT(PI()*H$9*H$10)))</f>
        <v>5.13155070130906E-005</v>
      </c>
    </row>
    <row r="129" customFormat="false" ht="15.75" hidden="false" customHeight="false" outlineLevel="0" collapsed="false">
      <c r="C129" s="0" t="n">
        <v>11.7</v>
      </c>
      <c r="D129" s="3" t="n">
        <f aca="false">D$8*D$10*(1-EXP(-2*$C129/SQRT(PI()*D$9*D$10)))</f>
        <v>0.000513446367976692</v>
      </c>
      <c r="E129" s="3" t="n">
        <f aca="false">E$8*E$10*(1-EXP(-2*$C129/SQRT(PI()*E$9*E$10)))</f>
        <v>0.000440857617042499</v>
      </c>
      <c r="F129" s="3" t="n">
        <f aca="false">F$8*F$10*(1-EXP(-2*$C129/SQRT(PI()*F$9*F$10)))</f>
        <v>0.000382191794847215</v>
      </c>
      <c r="G129" s="3" t="n">
        <f aca="false">G$8*G$10*(1-EXP(-2*$C129/SQRT(PI()*G$9*G$10)))</f>
        <v>0.000220428808521249</v>
      </c>
      <c r="H129" s="3" t="n">
        <f aca="false">H$8*H$10*(1-EXP(-2*$C129/SQRT(PI()*H$9*H$10)))</f>
        <v>5.13446367976692E-005</v>
      </c>
    </row>
    <row r="130" customFormat="false" ht="15.75" hidden="false" customHeight="false" outlineLevel="0" collapsed="false">
      <c r="C130" s="0" t="n">
        <v>11.8</v>
      </c>
      <c r="D130" s="3" t="n">
        <f aca="false">D$8*D$10*(1-EXP(-2*$C130/SQRT(PI()*D$9*D$10)))</f>
        <v>0.000513727454852026</v>
      </c>
      <c r="E130" s="3" t="n">
        <f aca="false">E$8*E$10*(1-EXP(-2*$C130/SQRT(PI()*E$9*E$10)))</f>
        <v>0.000442133718974234</v>
      </c>
      <c r="F130" s="3" t="n">
        <f aca="false">F$8*F$10*(1-EXP(-2*$C130/SQRT(PI()*F$9*F$10)))</f>
        <v>0.000383754493709917</v>
      </c>
      <c r="G130" s="3" t="n">
        <f aca="false">G$8*G$10*(1-EXP(-2*$C130/SQRT(PI()*G$9*G$10)))</f>
        <v>0.000221066859487117</v>
      </c>
      <c r="H130" s="3" t="n">
        <f aca="false">H$8*H$10*(1-EXP(-2*$C130/SQRT(PI()*H$9*H$10)))</f>
        <v>5.13727454852026E-005</v>
      </c>
    </row>
    <row r="131" customFormat="false" ht="15.75" hidden="false" customHeight="false" outlineLevel="0" collapsed="false">
      <c r="C131" s="0" t="n">
        <v>11.9</v>
      </c>
      <c r="D131" s="3" t="n">
        <f aca="false">D$8*D$10*(1-EXP(-2*$C131/SQRT(PI()*D$9*D$10)))</f>
        <v>0.000513998688685808</v>
      </c>
      <c r="E131" s="3" t="n">
        <f aca="false">E$8*E$10*(1-EXP(-2*$C131/SQRT(PI()*E$9*E$10)))</f>
        <v>0.000443389618882904</v>
      </c>
      <c r="F131" s="3" t="n">
        <f aca="false">F$8*F$10*(1-EXP(-2*$C131/SQRT(PI()*F$9*F$10)))</f>
        <v>0.000385299658515573</v>
      </c>
      <c r="G131" s="3" t="n">
        <f aca="false">G$8*G$10*(1-EXP(-2*$C131/SQRT(PI()*G$9*G$10)))</f>
        <v>0.000221694809441452</v>
      </c>
      <c r="H131" s="3" t="n">
        <f aca="false">H$8*H$10*(1-EXP(-2*$C131/SQRT(PI()*H$9*H$10)))</f>
        <v>5.13998688685808E-005</v>
      </c>
    </row>
    <row r="132" customFormat="false" ht="15.75" hidden="false" customHeight="false" outlineLevel="0" collapsed="false">
      <c r="C132" s="0" t="n">
        <v>12</v>
      </c>
      <c r="D132" s="3" t="n">
        <f aca="false">D$8*D$10*(1-EXP(-2*$C132/SQRT(PI()*D$9*D$10)))</f>
        <v>0.000514260414860325</v>
      </c>
      <c r="E132" s="3" t="n">
        <f aca="false">E$8*E$10*(1-EXP(-2*$C132/SQRT(PI()*E$9*E$10)))</f>
        <v>0.000444625636587581</v>
      </c>
      <c r="F132" s="3" t="n">
        <f aca="false">F$8*F$10*(1-EXP(-2*$C132/SQRT(PI()*F$9*F$10)))</f>
        <v>0.000386827486002763</v>
      </c>
      <c r="G132" s="3" t="n">
        <f aca="false">G$8*G$10*(1-EXP(-2*$C132/SQRT(PI()*G$9*G$10)))</f>
        <v>0.000222312818293791</v>
      </c>
      <c r="H132" s="3" t="n">
        <f aca="false">H$8*H$10*(1-EXP(-2*$C132/SQRT(PI()*H$9*H$10)))</f>
        <v>5.14260414860325E-005</v>
      </c>
    </row>
    <row r="133" customFormat="false" ht="15.75" hidden="false" customHeight="false" outlineLevel="0" collapsed="false">
      <c r="C133" s="0" t="n">
        <v>12.1</v>
      </c>
      <c r="D133" s="3" t="n">
        <f aca="false">D$8*D$10*(1-EXP(-2*$C133/SQRT(PI()*D$9*D$10)))</f>
        <v>0.000514512966651052</v>
      </c>
      <c r="E133" s="3" t="n">
        <f aca="false">E$8*E$10*(1-EXP(-2*$C133/SQRT(PI()*E$9*E$10)))</f>
        <v>0.000445842086844268</v>
      </c>
      <c r="F133" s="3" t="n">
        <f aca="false">F$8*F$10*(1-EXP(-2*$C133/SQRT(PI()*F$9*F$10)))</f>
        <v>0.00038833817070259</v>
      </c>
      <c r="G133" s="3" t="n">
        <f aca="false">G$8*G$10*(1-EXP(-2*$C133/SQRT(PI()*G$9*G$10)))</f>
        <v>0.000222921043422134</v>
      </c>
      <c r="H133" s="3" t="n">
        <f aca="false">H$8*H$10*(1-EXP(-2*$C133/SQRT(PI()*H$9*H$10)))</f>
        <v>5.14512966651052E-005</v>
      </c>
    </row>
    <row r="134" customFormat="false" ht="15.75" hidden="false" customHeight="false" outlineLevel="0" collapsed="false">
      <c r="C134" s="0" t="n">
        <v>12.2</v>
      </c>
      <c r="D134" s="3" t="n">
        <f aca="false">D$8*D$10*(1-EXP(-2*$C134/SQRT(PI()*D$9*D$10)))</f>
        <v>0.000514756665651036</v>
      </c>
      <c r="E134" s="3" t="n">
        <f aca="false">E$8*E$10*(1-EXP(-2*$C134/SQRT(PI()*E$9*E$10)))</f>
        <v>0.000447039279426053</v>
      </c>
      <c r="F134" s="3" t="n">
        <f aca="false">F$8*F$10*(1-EXP(-2*$C134/SQRT(PI()*F$9*F$10)))</f>
        <v>0.000389831904963443</v>
      </c>
      <c r="G134" s="3" t="n">
        <f aca="false">G$8*G$10*(1-EXP(-2*$C134/SQRT(PI()*G$9*G$10)))</f>
        <v>0.000223519639713027</v>
      </c>
      <c r="H134" s="3" t="n">
        <f aca="false">H$8*H$10*(1-EXP(-2*$C134/SQRT(PI()*H$9*H$10)))</f>
        <v>5.14756665651036E-005</v>
      </c>
    </row>
    <row r="135" customFormat="false" ht="15.75" hidden="false" customHeight="false" outlineLevel="0" collapsed="false">
      <c r="C135" s="0" t="n">
        <v>12.3</v>
      </c>
      <c r="D135" s="3" t="n">
        <f aca="false">D$8*D$10*(1-EXP(-2*$C135/SQRT(PI()*D$9*D$10)))</f>
        <v>0.000514991822180404</v>
      </c>
      <c r="E135" s="3" t="n">
        <f aca="false">E$8*E$10*(1-EXP(-2*$C135/SQRT(PI()*E$9*E$10)))</f>
        <v>0.000448217519201993</v>
      </c>
      <c r="F135" s="3" t="n">
        <f aca="false">F$8*F$10*(1-EXP(-2*$C135/SQRT(PI()*F$9*F$10)))</f>
        <v>0.000391308878975495</v>
      </c>
      <c r="G135" s="3" t="n">
        <f aca="false">G$8*G$10*(1-EXP(-2*$C135/SQRT(PI()*G$9*G$10)))</f>
        <v>0.000224108759600996</v>
      </c>
      <c r="H135" s="3" t="n">
        <f aca="false">H$8*H$10*(1-EXP(-2*$C135/SQRT(PI()*H$9*H$10)))</f>
        <v>5.14991822180404E-005</v>
      </c>
    </row>
    <row r="136" customFormat="false" ht="15.75" hidden="false" customHeight="false" outlineLevel="0" collapsed="false">
      <c r="C136" s="0" t="n">
        <v>12.4</v>
      </c>
      <c r="D136" s="3" t="n">
        <f aca="false">D$8*D$10*(1-EXP(-2*$C136/SQRT(PI()*D$9*D$10)))</f>
        <v>0.000515218735681519</v>
      </c>
      <c r="E136" s="3" t="n">
        <f aca="false">E$8*E$10*(1-EXP(-2*$C136/SQRT(PI()*E$9*E$10)))</f>
        <v>0.000449377106214749</v>
      </c>
      <c r="F136" s="3" t="n">
        <f aca="false">F$8*F$10*(1-EXP(-2*$C136/SQRT(PI()*F$9*F$10)))</f>
        <v>0.000392769280794912</v>
      </c>
      <c r="G136" s="3" t="n">
        <f aca="false">G$8*G$10*(1-EXP(-2*$C136/SQRT(PI()*G$9*G$10)))</f>
        <v>0.000224688553107375</v>
      </c>
      <c r="H136" s="3" t="n">
        <f aca="false">H$8*H$10*(1-EXP(-2*$C136/SQRT(PI()*H$9*H$10)))</f>
        <v>5.15218735681519E-005</v>
      </c>
    </row>
    <row r="137" customFormat="false" ht="15.75" hidden="false" customHeight="false" outlineLevel="0" collapsed="false">
      <c r="C137" s="0" t="n">
        <v>12.5</v>
      </c>
      <c r="D137" s="3" t="n">
        <f aca="false">D$8*D$10*(1-EXP(-2*$C137/SQRT(PI()*D$9*D$10)))</f>
        <v>0.000515437695100279</v>
      </c>
      <c r="E137" s="3" t="n">
        <f aca="false">E$8*E$10*(1-EXP(-2*$C137/SQRT(PI()*E$9*E$10)))</f>
        <v>0.000450518335756997</v>
      </c>
      <c r="F137" s="3" t="n">
        <f aca="false">F$8*F$10*(1-EXP(-2*$C137/SQRT(PI()*F$9*F$10)))</f>
        <v>0.000394213296367802</v>
      </c>
      <c r="G137" s="3" t="n">
        <f aca="false">G$8*G$10*(1-EXP(-2*$C137/SQRT(PI()*G$9*G$10)))</f>
        <v>0.000225259167878498</v>
      </c>
      <c r="H137" s="3" t="n">
        <f aca="false">H$8*H$10*(1-EXP(-2*$C137/SQRT(PI()*H$9*H$10)))</f>
        <v>5.15437695100279E-005</v>
      </c>
    </row>
    <row r="138" customFormat="false" ht="15.75" hidden="false" customHeight="false" outlineLevel="0" collapsed="false">
      <c r="C138" s="0" t="n">
        <v>12.6</v>
      </c>
      <c r="D138" s="3" t="n">
        <f aca="false">D$8*D$10*(1-EXP(-2*$C138/SQRT(PI()*D$9*D$10)))</f>
        <v>0.000515648979254057</v>
      </c>
      <c r="E138" s="3" t="n">
        <f aca="false">E$8*E$10*(1-EXP(-2*$C138/SQRT(PI()*E$9*E$10)))</f>
        <v>0.000451641498446619</v>
      </c>
      <c r="F138" s="3" t="n">
        <f aca="false">F$8*F$10*(1-EXP(-2*$C138/SQRT(PI()*F$9*F$10)))</f>
        <v>0.000395641109553889</v>
      </c>
      <c r="G138" s="3" t="n">
        <f aca="false">G$8*G$10*(1-EXP(-2*$C138/SQRT(PI()*G$9*G$10)))</f>
        <v>0.00022582074922331</v>
      </c>
      <c r="H138" s="3" t="n">
        <f aca="false">H$8*H$10*(1-EXP(-2*$C138/SQRT(PI()*H$9*H$10)))</f>
        <v>5.15648979254057E-005</v>
      </c>
    </row>
    <row r="139" customFormat="false" ht="15.75" hidden="false" customHeight="false" outlineLevel="0" collapsed="false">
      <c r="C139" s="0" t="n">
        <v>12.7</v>
      </c>
      <c r="D139" s="3" t="n">
        <f aca="false">D$8*D$10*(1-EXP(-2*$C139/SQRT(PI()*D$9*D$10)))</f>
        <v>0.000515852857186737</v>
      </c>
      <c r="E139" s="3" t="n">
        <f aca="false">E$8*E$10*(1-EXP(-2*$C139/SQRT(PI()*E$9*E$10)))</f>
        <v>0.000452746880300716</v>
      </c>
      <c r="F139" s="3" t="n">
        <f aca="false">F$8*F$10*(1-EXP(-2*$C139/SQRT(PI()*F$9*F$10)))</f>
        <v>0.000397052902149923</v>
      </c>
      <c r="G139" s="3" t="n">
        <f aca="false">G$8*G$10*(1-EXP(-2*$C139/SQRT(PI()*G$9*G$10)))</f>
        <v>0.000226373440150358</v>
      </c>
      <c r="H139" s="3" t="n">
        <f aca="false">H$8*H$10*(1-EXP(-2*$C139/SQRT(PI()*H$9*H$10)))</f>
        <v>5.15852857186737E-005</v>
      </c>
    </row>
    <row r="140" customFormat="false" ht="15.75" hidden="false" customHeight="false" outlineLevel="0" collapsed="false">
      <c r="C140" s="0" t="n">
        <v>12.8</v>
      </c>
      <c r="D140" s="3" t="n">
        <f aca="false">D$8*D$10*(1-EXP(-2*$C140/SQRT(PI()*D$9*D$10)))</f>
        <v>0.000516049588511309</v>
      </c>
      <c r="E140" s="3" t="n">
        <f aca="false">E$8*E$10*(1-EXP(-2*$C140/SQRT(PI()*E$9*E$10)))</f>
        <v>0.000453834762808439</v>
      </c>
      <c r="F140" s="3" t="n">
        <f aca="false">F$8*F$10*(1-EXP(-2*$C140/SQRT(PI()*F$9*F$10)))</f>
        <v>0.000398448853912827</v>
      </c>
      <c r="G140" s="3" t="n">
        <f aca="false">G$8*G$10*(1-EXP(-2*$C140/SQRT(PI()*G$9*G$10)))</f>
        <v>0.000226917381404219</v>
      </c>
      <c r="H140" s="3" t="n">
        <f aca="false">H$8*H$10*(1-EXP(-2*$C140/SQRT(PI()*H$9*H$10)))</f>
        <v>5.16049588511309E-005</v>
      </c>
    </row>
    <row r="141" customFormat="false" ht="15.75" hidden="false" customHeight="false" outlineLevel="0" collapsed="false">
      <c r="C141" s="0" t="n">
        <v>12.9</v>
      </c>
      <c r="D141" s="3" t="n">
        <f aca="false">D$8*D$10*(1-EXP(-2*$C141/SQRT(PI()*D$9*D$10)))</f>
        <v>0.000516239423740455</v>
      </c>
      <c r="E141" s="3" t="n">
        <f aca="false">E$8*E$10*(1-EXP(-2*$C141/SQRT(PI()*E$9*E$10)))</f>
        <v>0.000454905423002671</v>
      </c>
      <c r="F141" s="3" t="n">
        <f aca="false">F$8*F$10*(1-EXP(-2*$C141/SQRT(PI()*F$9*F$10)))</f>
        <v>0.000399829142582586</v>
      </c>
      <c r="G141" s="3" t="n">
        <f aca="false">G$8*G$10*(1-EXP(-2*$C141/SQRT(PI()*G$9*G$10)))</f>
        <v>0.000227452711501336</v>
      </c>
      <c r="H141" s="3" t="n">
        <f aca="false">H$8*H$10*(1-EXP(-2*$C141/SQRT(PI()*H$9*H$10)))</f>
        <v>5.16239423740455E-005</v>
      </c>
    </row>
    <row r="142" customFormat="false" ht="15.75" hidden="false" customHeight="false" outlineLevel="0" collapsed="false">
      <c r="C142" s="0" t="n">
        <v>13</v>
      </c>
      <c r="D142" s="3" t="n">
        <f aca="false">D$8*D$10*(1-EXP(-2*$C142/SQRT(PI()*D$9*D$10)))</f>
        <v>0.000516422604605541</v>
      </c>
      <c r="E142" s="3" t="n">
        <f aca="false">E$8*E$10*(1-EXP(-2*$C142/SQRT(PI()*E$9*E$10)))</f>
        <v>0.000455959133530579</v>
      </c>
      <c r="F142" s="3" t="n">
        <f aca="false">F$8*F$10*(1-EXP(-2*$C142/SQRT(PI()*F$9*F$10)))</f>
        <v>0.000401193943904876</v>
      </c>
      <c r="G142" s="3" t="n">
        <f aca="false">G$8*G$10*(1-EXP(-2*$C142/SQRT(PI()*G$9*G$10)))</f>
        <v>0.00022797956676529</v>
      </c>
      <c r="H142" s="3" t="n">
        <f aca="false">H$8*H$10*(1-EXP(-2*$C142/SQRT(PI()*H$9*H$10)))</f>
        <v>5.16422604605541E-005</v>
      </c>
    </row>
    <row r="143" customFormat="false" ht="15.75" hidden="false" customHeight="false" outlineLevel="0" collapsed="false">
      <c r="C143" s="0" t="n">
        <v>13.1</v>
      </c>
      <c r="D143" s="3" t="n">
        <f aca="false">D$8*D$10*(1-EXP(-2*$C143/SQRT(PI()*D$9*D$10)))</f>
        <v>0.000516599364364437</v>
      </c>
      <c r="E143" s="3" t="n">
        <f aca="false">E$8*E$10*(1-EXP(-2*$C143/SQRT(PI()*E$9*E$10)))</f>
        <v>0.000456996162723039</v>
      </c>
      <c r="F143" s="3" t="n">
        <f aca="false">F$8*F$10*(1-EXP(-2*$C143/SQRT(PI()*F$9*F$10)))</f>
        <v>0.000402543431653443</v>
      </c>
      <c r="G143" s="3" t="n">
        <f aca="false">G$8*G$10*(1-EXP(-2*$C143/SQRT(PI()*G$9*G$10)))</f>
        <v>0.00022849808136152</v>
      </c>
      <c r="H143" s="3" t="n">
        <f aca="false">H$8*H$10*(1-EXP(-2*$C143/SQRT(PI()*H$9*H$10)))</f>
        <v>5.16599364364437E-005</v>
      </c>
    </row>
    <row r="144" customFormat="false" ht="15.75" hidden="false" customHeight="false" outlineLevel="0" collapsed="false">
      <c r="C144" s="0" t="n">
        <v>13.2</v>
      </c>
      <c r="D144" s="3" t="n">
        <f aca="false">D$8*D$10*(1-EXP(-2*$C144/SQRT(PI()*D$9*D$10)))</f>
        <v>0.000516769928098538</v>
      </c>
      <c r="E144" s="3" t="n">
        <f aca="false">E$8*E$10*(1-EXP(-2*$C144/SQRT(PI()*E$9*E$10)))</f>
        <v>0.00045801677466297</v>
      </c>
      <c r="F144" s="3" t="n">
        <f aca="false">F$8*F$10*(1-EXP(-2*$C144/SQRT(PI()*F$9*F$10)))</f>
        <v>0.000403877777652226</v>
      </c>
      <c r="G144" s="3" t="n">
        <f aca="false">G$8*G$10*(1-EXP(-2*$C144/SQRT(PI()*G$9*G$10)))</f>
        <v>0.000229008387331485</v>
      </c>
      <c r="H144" s="3" t="n">
        <f aca="false">H$8*H$10*(1-EXP(-2*$C144/SQRT(PI()*H$9*H$10)))</f>
        <v>5.16769928098538E-005</v>
      </c>
    </row>
    <row r="145" customFormat="false" ht="15.75" hidden="false" customHeight="false" outlineLevel="0" collapsed="false">
      <c r="C145" s="0" t="n">
        <v>13.3</v>
      </c>
      <c r="D145" s="3" t="n">
        <f aca="false">D$8*D$10*(1-EXP(-2*$C145/SQRT(PI()*D$9*D$10)))</f>
        <v>0.000516934512999379</v>
      </c>
      <c r="E145" s="3" t="n">
        <f aca="false">E$8*E$10*(1-EXP(-2*$C145/SQRT(PI()*E$9*E$10)))</f>
        <v>0.000459021229252585</v>
      </c>
      <c r="F145" s="3" t="n">
        <f aca="false">F$8*F$10*(1-EXP(-2*$C145/SQRT(PI()*F$9*F$10)))</f>
        <v>0.000405197151797237</v>
      </c>
      <c r="G145" s="3" t="n">
        <f aca="false">G$8*G$10*(1-EXP(-2*$C145/SQRT(PI()*G$9*G$10)))</f>
        <v>0.000229510614626292</v>
      </c>
      <c r="H145" s="3" t="n">
        <f aca="false">H$8*H$10*(1-EXP(-2*$C145/SQRT(PI()*H$9*H$10)))</f>
        <v>5.16934512999379E-005</v>
      </c>
    </row>
    <row r="146" customFormat="false" ht="15.75" hidden="false" customHeight="false" outlineLevel="0" collapsed="false">
      <c r="C146" s="0" t="n">
        <v>13.4</v>
      </c>
      <c r="D146" s="3" t="n">
        <f aca="false">D$8*D$10*(1-EXP(-2*$C146/SQRT(PI()*D$9*D$10)))</f>
        <v>0.000517093328645198</v>
      </c>
      <c r="E146" s="3" t="n">
        <f aca="false">E$8*E$10*(1-EXP(-2*$C146/SQRT(PI()*E$9*E$10)))</f>
        <v>0.000460009782279571</v>
      </c>
      <c r="F146" s="3" t="n">
        <f aca="false">F$8*F$10*(1-EXP(-2*$C146/SQRT(PI()*F$9*F$10)))</f>
        <v>0.000406501722078193</v>
      </c>
      <c r="G146" s="3" t="n">
        <f aca="false">G$8*G$10*(1-EXP(-2*$C146/SQRT(PI()*G$9*G$10)))</f>
        <v>0.000230004891139785</v>
      </c>
      <c r="H146" s="3" t="n">
        <f aca="false">H$8*H$10*(1-EXP(-2*$C146/SQRT(PI()*H$9*H$10)))</f>
        <v>5.17093328645198E-005</v>
      </c>
    </row>
    <row r="147" customFormat="false" ht="15.75" hidden="false" customHeight="false" outlineLevel="0" collapsed="false">
      <c r="C147" s="0" t="n">
        <v>13.5</v>
      </c>
      <c r="D147" s="3" t="n">
        <f aca="false">D$8*D$10*(1-EXP(-2*$C147/SQRT(PI()*D$9*D$10)))</f>
        <v>0.000517246577267814</v>
      </c>
      <c r="E147" s="3" t="n">
        <f aca="false">E$8*E$10*(1-EXP(-2*$C147/SQRT(PI()*E$9*E$10)))</f>
        <v>0.000460982685482232</v>
      </c>
      <c r="F147" s="3" t="n">
        <f aca="false">F$8*F$10*(1-EXP(-2*$C147/SQRT(PI()*F$9*F$10)))</f>
        <v>0.000407791654599902</v>
      </c>
      <c r="G147" s="3" t="n">
        <f aca="false">G$8*G$10*(1-EXP(-2*$C147/SQRT(PI()*G$9*G$10)))</f>
        <v>0.000230491342741116</v>
      </c>
      <c r="H147" s="3" t="n">
        <f aca="false">H$8*H$10*(1-EXP(-2*$C147/SQRT(PI()*H$9*H$10)))</f>
        <v>5.17246577267814E-005</v>
      </c>
    </row>
    <row r="148" customFormat="false" ht="15.75" hidden="false" customHeight="false" outlineLevel="0" collapsed="false">
      <c r="C148" s="0" t="n">
        <v>13.6</v>
      </c>
      <c r="D148" s="3" t="n">
        <f aca="false">D$8*D$10*(1-EXP(-2*$C148/SQRT(PI()*D$9*D$10)))</f>
        <v>0.000517394454010136</v>
      </c>
      <c r="E148" s="3" t="n">
        <f aca="false">E$8*E$10*(1-EXP(-2*$C148/SQRT(PI()*E$9*E$10)))</f>
        <v>0.000461940186613591</v>
      </c>
      <c r="F148" s="3" t="n">
        <f aca="false">F$8*F$10*(1-EXP(-2*$C148/SQRT(PI()*F$9*F$10)))</f>
        <v>0.000409067113603417</v>
      </c>
      <c r="G148" s="3" t="n">
        <f aca="false">G$8*G$10*(1-EXP(-2*$C148/SQRT(PI()*G$9*G$10)))</f>
        <v>0.000230970093306795</v>
      </c>
      <c r="H148" s="3" t="n">
        <f aca="false">H$8*H$10*(1-EXP(-2*$C148/SQRT(PI()*H$9*H$10)))</f>
        <v>5.17394454010136E-005</v>
      </c>
    </row>
    <row r="149" customFormat="false" ht="15.75" hidden="false" customHeight="false" outlineLevel="0" collapsed="false">
      <c r="C149" s="0" t="n">
        <v>13.7</v>
      </c>
      <c r="D149" s="3" t="n">
        <f aca="false">D$8*D$10*(1-EXP(-2*$C149/SQRT(PI()*D$9*D$10)))</f>
        <v>0.000517537147174659</v>
      </c>
      <c r="E149" s="3" t="n">
        <f aca="false">E$8*E$10*(1-EXP(-2*$C149/SQRT(PI()*E$9*E$10)))</f>
        <v>0.000462882529504484</v>
      </c>
      <c r="F149" s="3" t="n">
        <f aca="false">F$8*F$10*(1-EXP(-2*$C149/SQRT(PI()*F$9*F$10)))</f>
        <v>0.000410328261486945</v>
      </c>
      <c r="G149" s="3" t="n">
        <f aca="false">G$8*G$10*(1-EXP(-2*$C149/SQRT(PI()*G$9*G$10)))</f>
        <v>0.000231441264752242</v>
      </c>
      <c r="H149" s="3" t="n">
        <f aca="false">H$8*H$10*(1-EXP(-2*$C149/SQRT(PI()*H$9*H$10)))</f>
        <v>5.17537147174659E-005</v>
      </c>
    </row>
    <row r="150" customFormat="false" ht="15.75" hidden="false" customHeight="false" outlineLevel="0" collapsed="false">
      <c r="C150" s="0" t="n">
        <v>13.8</v>
      </c>
      <c r="D150" s="3" t="n">
        <f aca="false">D$8*D$10*(1-EXP(-2*$C150/SQRT(PI()*D$9*D$10)))</f>
        <v>0.00051767483846324</v>
      </c>
      <c r="E150" s="3" t="n">
        <f aca="false">E$8*E$10*(1-EXP(-2*$C150/SQRT(PI()*E$9*E$10)))</f>
        <v>0.00046380995412565</v>
      </c>
      <c r="F150" s="3" t="n">
        <f aca="false">F$8*F$10*(1-EXP(-2*$C150/SQRT(PI()*F$9*F$10)))</f>
        <v>0.000411575258826526</v>
      </c>
      <c r="G150" s="3" t="n">
        <f aca="false">G$8*G$10*(1-EXP(-2*$C150/SQRT(PI()*G$9*G$10)))</f>
        <v>0.000231904977062825</v>
      </c>
      <c r="H150" s="3" t="n">
        <f aca="false">H$8*H$10*(1-EXP(-2*$C150/SQRT(PI()*H$9*H$10)))</f>
        <v>5.1767483846324E-005</v>
      </c>
    </row>
    <row r="151" customFormat="false" ht="15.75" hidden="false" customHeight="false" outlineLevel="0" collapsed="false">
      <c r="C151" s="0" t="n">
        <v>13.9</v>
      </c>
      <c r="D151" s="3" t="n">
        <f aca="false">D$8*D$10*(1-EXP(-2*$C151/SQRT(PI()*D$9*D$10)))</f>
        <v>0.000517807703208476</v>
      </c>
      <c r="E151" s="3" t="n">
        <f aca="false">E$8*E$10*(1-EXP(-2*$C151/SQRT(PI()*E$9*E$10)))</f>
        <v>0.00046472269664884</v>
      </c>
      <c r="F151" s="3" t="n">
        <f aca="false">F$8*F$10*(1-EXP(-2*$C151/SQRT(PI()*F$9*F$10)))</f>
        <v>0.000412808264396476</v>
      </c>
      <c r="G151" s="3" t="n">
        <f aca="false">G$8*G$10*(1-EXP(-2*$C151/SQRT(PI()*G$9*G$10)))</f>
        <v>0.00023236134832442</v>
      </c>
      <c r="H151" s="3" t="n">
        <f aca="false">H$8*H$10*(1-EXP(-2*$C151/SQRT(PI()*H$9*H$10)))</f>
        <v>5.17807703208476E-005</v>
      </c>
    </row>
    <row r="152" customFormat="false" ht="15.75" hidden="false" customHeight="false" outlineLevel="0" collapsed="false">
      <c r="C152" s="0" t="n">
        <v>14</v>
      </c>
      <c r="D152" s="3" t="n">
        <f aca="false">D$8*D$10*(1-EXP(-2*$C152/SQRT(PI()*D$9*D$10)))</f>
        <v>0.000517935910596963</v>
      </c>
      <c r="E152" s="3" t="n">
        <f aca="false">E$8*E$10*(1-EXP(-2*$C152/SQRT(PI()*E$9*E$10)))</f>
        <v>0.000465620989506962</v>
      </c>
      <c r="F152" s="3" t="n">
        <f aca="false">F$8*F$10*(1-EXP(-2*$C152/SQRT(PI()*F$9*F$10)))</f>
        <v>0.000414027435189607</v>
      </c>
      <c r="G152" s="3" t="n">
        <f aca="false">G$8*G$10*(1-EXP(-2*$C152/SQRT(PI()*G$9*G$10)))</f>
        <v>0.000232810494753481</v>
      </c>
      <c r="H152" s="3" t="n">
        <f aca="false">H$8*H$10*(1-EXP(-2*$C152/SQRT(PI()*H$9*H$10)))</f>
        <v>5.17935910596963E-005</v>
      </c>
    </row>
    <row r="153" customFormat="false" ht="15.75" hidden="false" customHeight="false" outlineLevel="0" collapsed="false">
      <c r="C153" s="0" t="n">
        <v>14.1</v>
      </c>
      <c r="D153" s="3" t="n">
        <f aca="false">D$8*D$10*(1-EXP(-2*$C153/SQRT(PI()*D$9*D$10)))</f>
        <v>0.000518059623884741</v>
      </c>
      <c r="E153" s="3" t="n">
        <f aca="false">E$8*E$10*(1-EXP(-2*$C153/SQRT(PI()*E$9*E$10)))</f>
        <v>0.000466505061453268</v>
      </c>
      <c r="F153" s="3" t="n">
        <f aca="false">F$8*F$10*(1-EXP(-2*$C153/SQRT(PI()*F$9*F$10)))</f>
        <v>0.000415232926437212</v>
      </c>
      <c r="G153" s="3" t="n">
        <f aca="false">G$8*G$10*(1-EXP(-2*$C153/SQRT(PI()*G$9*G$10)))</f>
        <v>0.000233252530726634</v>
      </c>
      <c r="H153" s="3" t="n">
        <f aca="false">H$8*H$10*(1-EXP(-2*$C153/SQRT(PI()*H$9*H$10)))</f>
        <v>5.18059623884741E-005</v>
      </c>
    </row>
    <row r="154" customFormat="false" ht="15.75" hidden="false" customHeight="false" outlineLevel="0" collapsed="false">
      <c r="C154" s="0" t="n">
        <v>14.2</v>
      </c>
      <c r="D154" s="3" t="n">
        <f aca="false">D$8*D$10*(1-EXP(-2*$C154/SQRT(PI()*D$9*D$10)))</f>
        <v>0.000518179000605173</v>
      </c>
      <c r="E154" s="3" t="n">
        <f aca="false">E$8*E$10*(1-EXP(-2*$C154/SQRT(PI()*E$9*E$10)))</f>
        <v>0.000467375137619608</v>
      </c>
      <c r="F154" s="3" t="n">
        <f aca="false">F$8*F$10*(1-EXP(-2*$C154/SQRT(PI()*F$9*F$10)))</f>
        <v>0.000416424891628833</v>
      </c>
      <c r="G154" s="3" t="n">
        <f aca="false">G$8*G$10*(1-EXP(-2*$C154/SQRT(PI()*G$9*G$10)))</f>
        <v>0.000233687568809804</v>
      </c>
      <c r="H154" s="3" t="n">
        <f aca="false">H$8*H$10*(1-EXP(-2*$C154/SQRT(PI()*H$9*H$10)))</f>
        <v>5.18179000605173E-005</v>
      </c>
    </row>
    <row r="155" customFormat="false" ht="15.75" hidden="false" customHeight="false" outlineLevel="0" collapsed="false">
      <c r="C155" s="0" t="n">
        <v>14.3</v>
      </c>
      <c r="D155" s="3" t="n">
        <f aca="false">D$8*D$10*(1-EXP(-2*$C155/SQRT(PI()*D$9*D$10)))</f>
        <v>0.000518294192769547</v>
      </c>
      <c r="E155" s="3" t="n">
        <f aca="false">E$8*E$10*(1-EXP(-2*$C155/SQRT(PI()*E$9*E$10)))</f>
        <v>0.000468231439573761</v>
      </c>
      <c r="F155" s="3" t="n">
        <f aca="false">F$8*F$10*(1-EXP(-2*$C155/SQRT(PI()*F$9*F$10)))</f>
        <v>0.000417603482531801</v>
      </c>
      <c r="G155" s="3" t="n">
        <f aca="false">G$8*G$10*(1-EXP(-2*$C155/SQRT(PI()*G$9*G$10)))</f>
        <v>0.00023411571978688</v>
      </c>
      <c r="H155" s="3" t="n">
        <f aca="false">H$8*H$10*(1-EXP(-2*$C155/SQRT(PI()*H$9*H$10)))</f>
        <v>5.18294192769547E-005</v>
      </c>
    </row>
    <row r="156" customFormat="false" ht="15.75" hidden="false" customHeight="false" outlineLevel="0" collapsed="false">
      <c r="C156" s="0" t="n">
        <v>14.4</v>
      </c>
      <c r="D156" s="3" t="n">
        <f aca="false">D$8*D$10*(1-EXP(-2*$C156/SQRT(PI()*D$9*D$10)))</f>
        <v>0.000518405347060646</v>
      </c>
      <c r="E156" s="3" t="n">
        <f aca="false">E$8*E$10*(1-EXP(-2*$C156/SQRT(PI()*E$9*E$10)))</f>
        <v>0.000469074185375855</v>
      </c>
      <c r="F156" s="3" t="n">
        <f aca="false">F$8*F$10*(1-EXP(-2*$C156/SQRT(PI()*F$9*F$10)))</f>
        <v>0.000418768849210563</v>
      </c>
      <c r="G156" s="3" t="n">
        <f aca="false">G$8*G$10*(1-EXP(-2*$C156/SQRT(PI()*G$9*G$10)))</f>
        <v>0.000234537092687927</v>
      </c>
      <c r="H156" s="3" t="n">
        <f aca="false">H$8*H$10*(1-EXP(-2*$C156/SQRT(PI()*H$9*H$10)))</f>
        <v>5.18405347060646E-005</v>
      </c>
    </row>
    <row r="157" customFormat="false" ht="15.75" hidden="false" customHeight="false" outlineLevel="0" collapsed="false">
      <c r="C157" s="0" t="n">
        <v>14.5</v>
      </c>
      <c r="D157" s="3" t="n">
        <f aca="false">D$8*D$10*(1-EXP(-2*$C157/SQRT(PI()*D$9*D$10)))</f>
        <v>0.000518512605019525</v>
      </c>
      <c r="E157" s="3" t="n">
        <f aca="false">E$8*E$10*(1-EXP(-2*$C157/SQRT(PI()*E$9*E$10)))</f>
        <v>0.000469903589633901</v>
      </c>
      <c r="F157" s="3" t="n">
        <f aca="false">F$8*F$10*(1-EXP(-2*$C157/SQRT(PI()*F$9*F$10)))</f>
        <v>0.000419921140045788</v>
      </c>
      <c r="G157" s="3" t="n">
        <f aca="false">G$8*G$10*(1-EXP(-2*$C157/SQRT(PI()*G$9*G$10)))</f>
        <v>0.00023495179481695</v>
      </c>
      <c r="H157" s="3" t="n">
        <f aca="false">H$8*H$10*(1-EXP(-2*$C157/SQRT(PI()*H$9*H$10)))</f>
        <v>5.18512605019525E-005</v>
      </c>
    </row>
    <row r="158" customFormat="false" ht="15.75" hidden="false" customHeight="false" outlineLevel="0" collapsed="false">
      <c r="C158" s="0" t="n">
        <v>14.6</v>
      </c>
      <c r="D158" s="3" t="n">
        <f aca="false">D$8*D$10*(1-EXP(-2*$C158/SQRT(PI()*D$9*D$10)))</f>
        <v>0.00051861610322575</v>
      </c>
      <c r="E158" s="3" t="n">
        <f aca="false">E$8*E$10*(1-EXP(-2*$C158/SQRT(PI()*E$9*E$10)))</f>
        <v>0.00047071986355844</v>
      </c>
      <c r="F158" s="3" t="n">
        <f aca="false">F$8*F$10*(1-EXP(-2*$C158/SQRT(PI()*F$9*F$10)))</f>
        <v>0.000421060501753257</v>
      </c>
      <c r="G158" s="3" t="n">
        <f aca="false">G$8*G$10*(1-EXP(-2*$C158/SQRT(PI()*G$9*G$10)))</f>
        <v>0.00023535993177922</v>
      </c>
      <c r="H158" s="3" t="n">
        <f aca="false">H$8*H$10*(1-EXP(-2*$C158/SQRT(PI()*H$9*H$10)))</f>
        <v>5.1861610322575E-005</v>
      </c>
    </row>
    <row r="159" customFormat="false" ht="15.75" hidden="false" customHeight="false" outlineLevel="0" collapsed="false">
      <c r="C159" s="0" t="n">
        <v>14.7</v>
      </c>
      <c r="D159" s="3" t="n">
        <f aca="false">D$8*D$10*(1-EXP(-2*$C159/SQRT(PI()*D$9*D$10)))</f>
        <v>0.000518715973471313</v>
      </c>
      <c r="E159" s="3" t="n">
        <f aca="false">E$8*E$10*(1-EXP(-2*$C159/SQRT(PI()*E$9*E$10)))</f>
        <v>0.000471523215016333</v>
      </c>
      <c r="F159" s="3" t="n">
        <f aca="false">F$8*F$10*(1-EXP(-2*$C159/SQRT(PI()*F$9*F$10)))</f>
        <v>0.000422187079402549</v>
      </c>
      <c r="G159" s="3" t="n">
        <f aca="false">G$8*G$10*(1-EXP(-2*$C159/SQRT(PI()*G$9*G$10)))</f>
        <v>0.000235761607508166</v>
      </c>
      <c r="H159" s="3" t="n">
        <f aca="false">H$8*H$10*(1-EXP(-2*$C159/SQRT(PI()*H$9*H$10)))</f>
        <v>5.18715973471313E-005</v>
      </c>
    </row>
    <row r="160" customFormat="false" ht="15.75" hidden="false" customHeight="false" outlineLevel="0" collapsed="false">
      <c r="C160" s="0" t="n">
        <v>14.8</v>
      </c>
      <c r="D160" s="3" t="n">
        <f aca="false">D$8*D$10*(1-EXP(-2*$C160/SQRT(PI()*D$9*D$10)))</f>
        <v>0.000518812342928451</v>
      </c>
      <c r="E160" s="3" t="n">
        <f aca="false">E$8*E$10*(1-EXP(-2*$C160/SQRT(PI()*E$9*E$10)))</f>
        <v>0.000472313848583688</v>
      </c>
      <c r="F160" s="3" t="n">
        <f aca="false">F$8*F$10*(1-EXP(-2*$C160/SQRT(PI()*F$9*F$10)))</f>
        <v>0.000423301016435507</v>
      </c>
      <c r="G160" s="3" t="n">
        <f aca="false">G$8*G$10*(1-EXP(-2*$C160/SQRT(PI()*G$9*G$10)))</f>
        <v>0.000236156924291844</v>
      </c>
      <c r="H160" s="3" t="n">
        <f aca="false">H$8*H$10*(1-EXP(-2*$C160/SQRT(PI()*H$9*H$10)))</f>
        <v>5.18812342928451E-005</v>
      </c>
    </row>
    <row r="161" customFormat="false" ht="15.75" hidden="false" customHeight="false" outlineLevel="0" collapsed="false">
      <c r="C161" s="0" t="n">
        <v>14.9</v>
      </c>
      <c r="D161" s="3" t="n">
        <f aca="false">D$8*D$10*(1-EXP(-2*$C161/SQRT(PI()*D$9*D$10)))</f>
        <v>0.000518905334311589</v>
      </c>
      <c r="E161" s="3" t="n">
        <f aca="false">E$8*E$10*(1-EXP(-2*$C161/SQRT(PI()*E$9*E$10)))</f>
        <v>0.000473091965597963</v>
      </c>
      <c r="F161" s="3" t="n">
        <f aca="false">F$8*F$10*(1-EXP(-2*$C161/SQRT(PI()*F$9*F$10)))</f>
        <v>0.000424402454684504</v>
      </c>
      <c r="G161" s="3" t="n">
        <f aca="false">G$8*G$10*(1-EXP(-2*$C161/SQRT(PI()*G$9*G$10)))</f>
        <v>0.000236545982798982</v>
      </c>
      <c r="H161" s="3" t="n">
        <f aca="false">H$8*H$10*(1-EXP(-2*$C161/SQRT(PI()*H$9*H$10)))</f>
        <v>5.18905334311589E-005</v>
      </c>
    </row>
    <row r="162" customFormat="false" ht="15.75" hidden="false" customHeight="false" outlineLevel="0" collapsed="false">
      <c r="C162" s="0" t="n">
        <v>15</v>
      </c>
      <c r="D162" s="3" t="n">
        <f aca="false">D$8*D$10*(1-EXP(-2*$C162/SQRT(PI()*D$9*D$10)))</f>
        <v>0.000518995066033595</v>
      </c>
      <c r="E162" s="3" t="n">
        <f aca="false">E$8*E$10*(1-EXP(-2*$C162/SQRT(PI()*E$9*E$10)))</f>
        <v>0.000473857764209234</v>
      </c>
      <c r="F162" s="3" t="n">
        <f aca="false">F$8*F$10*(1-EXP(-2*$C162/SQRT(PI()*F$9*F$10)))</f>
        <v>0.0004254915343905</v>
      </c>
      <c r="G162" s="3" t="n">
        <f aca="false">G$8*G$10*(1-EXP(-2*$C162/SQRT(PI()*G$9*G$10)))</f>
        <v>0.000236928882104617</v>
      </c>
      <c r="H162" s="3" t="n">
        <f aca="false">H$8*H$10*(1-EXP(-2*$C162/SQRT(PI()*H$9*H$10)))</f>
        <v>5.18995066033595E-005</v>
      </c>
    </row>
    <row r="163" customFormat="false" ht="15.75" hidden="false" customHeight="false" outlineLevel="0" collapsed="false">
      <c r="C163" s="0" t="n">
        <v>15.1</v>
      </c>
      <c r="D163" s="3" t="n">
        <f aca="false">D$8*D$10*(1-EXP(-2*$C163/SQRT(PI()*D$9*D$10)))</f>
        <v>0.00051908165235657</v>
      </c>
      <c r="E163" s="3" t="n">
        <f aca="false">E$8*E$10*(1-EXP(-2*$C163/SQRT(PI()*E$9*E$10)))</f>
        <v>0.000474611439430654</v>
      </c>
      <c r="F163" s="3" t="n">
        <f aca="false">F$8*F$10*(1-EXP(-2*$C163/SQRT(PI()*F$9*F$10)))</f>
        <v>0.000426568394220903</v>
      </c>
      <c r="G163" s="3" t="n">
        <f aca="false">G$8*G$10*(1-EXP(-2*$C163/SQRT(PI()*G$9*G$10)))</f>
        <v>0.000237305719715327</v>
      </c>
      <c r="H163" s="3" t="n">
        <f aca="false">H$8*H$10*(1-EXP(-2*$C163/SQRT(PI()*H$9*H$10)))</f>
        <v>5.1908165235657E-005</v>
      </c>
    </row>
    <row r="164" customFormat="false" ht="15.75" hidden="false" customHeight="false" outlineLevel="0" collapsed="false">
      <c r="C164" s="0" t="n">
        <v>15.2</v>
      </c>
      <c r="D164" s="3" t="n">
        <f aca="false">D$8*D$10*(1-EXP(-2*$C164/SQRT(PI()*D$9*D$10)))</f>
        <v>0.000519165203537342</v>
      </c>
      <c r="E164" s="3" t="n">
        <f aca="false">E$8*E$10*(1-EXP(-2*$C164/SQRT(PI()*E$9*E$10)))</f>
        <v>0.000475353183188114</v>
      </c>
      <c r="F164" s="3" t="n">
        <f aca="false">F$8*F$10*(1-EXP(-2*$C164/SQRT(PI()*F$9*F$10)))</f>
        <v>0.000427633171287219</v>
      </c>
      <c r="G164" s="3" t="n">
        <f aca="false">G$8*G$10*(1-EXP(-2*$C164/SQRT(PI()*G$9*G$10)))</f>
        <v>0.000237676591594057</v>
      </c>
      <c r="H164" s="3" t="n">
        <f aca="false">H$8*H$10*(1-EXP(-2*$C164/SQRT(PI()*H$9*H$10)))</f>
        <v>5.19165203537342E-005</v>
      </c>
    </row>
    <row r="165" customFormat="false" ht="15.75" hidden="false" customHeight="false" outlineLevel="0" collapsed="false">
      <c r="C165" s="0" t="n">
        <v>15.3</v>
      </c>
      <c r="D165" s="3" t="n">
        <f aca="false">D$8*D$10*(1-EXP(-2*$C165/SQRT(PI()*D$9*D$10)))</f>
        <v>0.000519245825967866</v>
      </c>
      <c r="E165" s="3" t="n">
        <f aca="false">E$8*E$10*(1-EXP(-2*$C165/SQRT(PI()*E$9*E$10)))</f>
        <v>0.00047608318436912</v>
      </c>
      <c r="F165" s="3" t="n">
        <f aca="false">F$8*F$10*(1-EXP(-2*$C165/SQRT(PI()*F$9*F$10)))</f>
        <v>0.000428686001162513</v>
      </c>
      <c r="G165" s="3" t="n">
        <f aca="false">G$8*G$10*(1-EXP(-2*$C165/SQRT(PI()*G$9*G$10)))</f>
        <v>0.00023804159218456</v>
      </c>
      <c r="H165" s="3" t="n">
        <f aca="false">H$8*H$10*(1-EXP(-2*$C165/SQRT(PI()*H$9*H$10)))</f>
        <v>5.19245825967866E-005</v>
      </c>
    </row>
    <row r="166" customFormat="false" ht="15.75" hidden="false" customHeight="false" outlineLevel="0" collapsed="false">
      <c r="C166" s="0" t="n">
        <v>15.4</v>
      </c>
      <c r="D166" s="3" t="n">
        <f aca="false">D$8*D$10*(1-EXP(-2*$C166/SQRT(PI()*D$9*D$10)))</f>
        <v>0.0005193236223107</v>
      </c>
      <c r="E166" s="3" t="n">
        <f aca="false">E$8*E$10*(1-EXP(-2*$C166/SQRT(PI()*E$9*E$10)))</f>
        <v>0.000476801628870891</v>
      </c>
      <c r="F166" s="3" t="n">
        <f aca="false">F$8*F$10*(1-EXP(-2*$C166/SQRT(PI()*F$9*F$10)))</f>
        <v>0.000429727017898672</v>
      </c>
      <c r="G166" s="3" t="n">
        <f aca="false">G$8*G$10*(1-EXP(-2*$C166/SQRT(PI()*G$9*G$10)))</f>
        <v>0.000238400814435445</v>
      </c>
      <c r="H166" s="3" t="n">
        <f aca="false">H$8*H$10*(1-EXP(-2*$C166/SQRT(PI()*H$9*H$10)))</f>
        <v>5.193236223107E-005</v>
      </c>
    </row>
    <row r="167" customFormat="false" ht="15.75" hidden="false" customHeight="false" outlineLevel="0" collapsed="false">
      <c r="C167" s="0" t="n">
        <v>15.5</v>
      </c>
      <c r="D167" s="3" t="n">
        <f aca="false">D$8*D$10*(1-EXP(-2*$C167/SQRT(PI()*D$9*D$10)))</f>
        <v>0.000519398691629736</v>
      </c>
      <c r="E167" s="3" t="n">
        <f aca="false">E$8*E$10*(1-EXP(-2*$C167/SQRT(PI()*E$9*E$10)))</f>
        <v>0.000477508699647699</v>
      </c>
      <c r="F167" s="3" t="n">
        <f aca="false">F$8*F$10*(1-EXP(-2*$C167/SQRT(PI()*F$9*F$10)))</f>
        <v>0.000430756354043467</v>
      </c>
      <c r="G167" s="3" t="n">
        <f aca="false">G$8*G$10*(1-EXP(-2*$C167/SQRT(PI()*G$9*G$10)))</f>
        <v>0.000238754349823849</v>
      </c>
      <c r="H167" s="3" t="n">
        <f aca="false">H$8*H$10*(1-EXP(-2*$C167/SQRT(PI()*H$9*H$10)))</f>
        <v>5.19398691629736E-005</v>
      </c>
    </row>
    <row r="168" customFormat="false" ht="15.75" hidden="false" customHeight="false" outlineLevel="0" collapsed="false">
      <c r="C168" s="0" t="n">
        <v>15.6</v>
      </c>
      <c r="D168" s="3" t="n">
        <f aca="false">D$8*D$10*(1-EXP(-2*$C168/SQRT(PI()*D$9*D$10)))</f>
        <v>0.000519471129516341</v>
      </c>
      <c r="E168" s="3" t="n">
        <f aca="false">E$8*E$10*(1-EXP(-2*$C168/SQRT(PI()*E$9*E$10)))</f>
        <v>0.00047820457675746</v>
      </c>
      <c r="F168" s="3" t="n">
        <f aca="false">F$8*F$10*(1-EXP(-2*$C168/SQRT(PI()*F$9*F$10)))</f>
        <v>0.00043177414065744</v>
      </c>
      <c r="G168" s="3" t="n">
        <f aca="false">G$8*G$10*(1-EXP(-2*$C168/SQRT(PI()*G$9*G$10)))</f>
        <v>0.00023910228837873</v>
      </c>
      <c r="H168" s="3" t="n">
        <f aca="false">H$8*H$10*(1-EXP(-2*$C168/SQRT(PI()*H$9*H$10)))</f>
        <v>5.19471129516341E-005</v>
      </c>
    </row>
    <row r="169" customFormat="false" ht="15.75" hidden="false" customHeight="false" outlineLevel="0" collapsed="false">
      <c r="C169" s="0" t="n">
        <v>15.7</v>
      </c>
      <c r="D169" s="3" t="n">
        <f aca="false">D$8*D$10*(1-EXP(-2*$C169/SQRT(PI()*D$9*D$10)))</f>
        <v>0.000519541028211083</v>
      </c>
      <c r="E169" s="3" t="n">
        <f aca="false">E$8*E$10*(1-EXP(-2*$C169/SQRT(PI()*E$9*E$10)))</f>
        <v>0.000478889437407585</v>
      </c>
      <c r="F169" s="3" t="n">
        <f aca="false">F$8*F$10*(1-EXP(-2*$C169/SQRT(PI()*F$9*F$10)))</f>
        <v>0.00043278050733058</v>
      </c>
      <c r="G169" s="3" t="n">
        <f aca="false">G$8*G$10*(1-EXP(-2*$C169/SQRT(PI()*G$9*G$10)))</f>
        <v>0.000239444718703792</v>
      </c>
      <c r="H169" s="3" t="n">
        <f aca="false">H$8*H$10*(1-EXP(-2*$C169/SQRT(PI()*H$9*H$10)))</f>
        <v>5.19541028211083E-005</v>
      </c>
    </row>
    <row r="170" customFormat="false" ht="15.75" hidden="false" customHeight="false" outlineLevel="0" collapsed="false">
      <c r="C170" s="0" t="n">
        <v>15.8</v>
      </c>
      <c r="D170" s="3" t="n">
        <f aca="false">D$8*D$10*(1-EXP(-2*$C170/SQRT(PI()*D$9*D$10)))</f>
        <v>0.000519608476721187</v>
      </c>
      <c r="E170" s="3" t="n">
        <f aca="false">E$8*E$10*(1-EXP(-2*$C170/SQRT(PI()*E$9*E$10)))</f>
        <v>0.000479563456000108</v>
      </c>
      <c r="F170" s="3" t="n">
        <f aca="false">F$8*F$10*(1-EXP(-2*$C170/SQRT(PI()*F$9*F$10)))</f>
        <v>0.000433775582198833</v>
      </c>
      <c r="G170" s="3" t="n">
        <f aca="false">G$8*G$10*(1-EXP(-2*$C170/SQRT(PI()*G$9*G$10)))</f>
        <v>0.000239781728000054</v>
      </c>
      <c r="H170" s="3" t="n">
        <f aca="false">H$8*H$10*(1-EXP(-2*$C170/SQRT(PI()*H$9*H$10)))</f>
        <v>5.19608476721187E-005</v>
      </c>
    </row>
    <row r="171" customFormat="false" ht="15.75" hidden="false" customHeight="false" outlineLevel="0" collapsed="false">
      <c r="C171" s="0" t="n">
        <v>15.9</v>
      </c>
      <c r="D171" s="3" t="n">
        <f aca="false">D$8*D$10*(1-EXP(-2*$C171/SQRT(PI()*D$9*D$10)))</f>
        <v>0.000519673560933877</v>
      </c>
      <c r="E171" s="3" t="n">
        <f aca="false">E$8*E$10*(1-EXP(-2*$C171/SQRT(PI()*E$9*E$10)))</f>
        <v>0.000480226804176095</v>
      </c>
      <c r="F171" s="3" t="n">
        <f aca="false">F$8*F$10*(1-EXP(-2*$C171/SQRT(PI()*F$9*F$10)))</f>
        <v>0.000434759491960409</v>
      </c>
      <c r="G171" s="3" t="n">
        <f aca="false">G$8*G$10*(1-EXP(-2*$C171/SQRT(PI()*G$9*G$10)))</f>
        <v>0.000240113402088048</v>
      </c>
      <c r="H171" s="3" t="n">
        <f aca="false">H$8*H$10*(1-EXP(-2*$C171/SQRT(PI()*H$9*H$10)))</f>
        <v>5.19673560933877E-005</v>
      </c>
    </row>
    <row r="172" customFormat="false" ht="15.75" hidden="false" customHeight="false" outlineLevel="0" collapsed="false">
      <c r="C172" s="0" t="n">
        <v>16</v>
      </c>
      <c r="D172" s="3" t="n">
        <f aca="false">D$8*D$10*(1-EXP(-2*$C172/SQRT(PI()*D$9*D$10)))</f>
        <v>0.000519736363725738</v>
      </c>
      <c r="E172" s="3" t="n">
        <f aca="false">E$8*E$10*(1-EXP(-2*$C172/SQRT(PI()*E$9*E$10)))</f>
        <v>0.000480879650859359</v>
      </c>
      <c r="F172" s="3" t="n">
        <f aca="false">F$8*F$10*(1-EXP(-2*$C172/SQRT(PI()*F$9*F$10)))</f>
        <v>0.00043573236189192</v>
      </c>
      <c r="G172" s="3" t="n">
        <f aca="false">G$8*G$10*(1-EXP(-2*$C172/SQRT(PI()*G$9*G$10)))</f>
        <v>0.000240439825429679</v>
      </c>
      <c r="H172" s="3" t="n">
        <f aca="false">H$8*H$10*(1-EXP(-2*$C172/SQRT(PI()*H$9*H$10)))</f>
        <v>5.19736363725738E-005</v>
      </c>
    </row>
    <row r="173" customFormat="false" ht="15.75" hidden="false" customHeight="false" outlineLevel="0" collapsed="false">
      <c r="C173" s="0" t="n">
        <v>16.1</v>
      </c>
      <c r="D173" s="3" t="n">
        <f aca="false">D$8*D$10*(1-EXP(-2*$C173/SQRT(PI()*D$9*D$10)))</f>
        <v>0.000519796965068254</v>
      </c>
      <c r="E173" s="3" t="n">
        <f aca="false">E$8*E$10*(1-EXP(-2*$C173/SQRT(PI()*E$9*E$10)))</f>
        <v>0.000481522162299469</v>
      </c>
      <c r="F173" s="3" t="n">
        <f aca="false">F$8*F$10*(1-EXP(-2*$C173/SQRT(PI()*F$9*F$10)))</f>
        <v>0.000436694315864327</v>
      </c>
      <c r="G173" s="3" t="n">
        <f aca="false">G$8*G$10*(1-EXP(-2*$C173/SQRT(PI()*G$9*G$10)))</f>
        <v>0.000240761081149734</v>
      </c>
      <c r="H173" s="3" t="n">
        <f aca="false">H$8*H$10*(1-EXP(-2*$C173/SQRT(PI()*H$9*H$10)))</f>
        <v>5.19796965068254E-005</v>
      </c>
    </row>
    <row r="174" customFormat="false" ht="15.75" hidden="false" customHeight="false" outlineLevel="0" collapsed="false">
      <c r="C174" s="0" t="n">
        <v>16.2</v>
      </c>
      <c r="D174" s="3" t="n">
        <f aca="false">D$8*D$10*(1-EXP(-2*$C174/SQRT(PI()*D$9*D$10)))</f>
        <v>0.000519855442129636</v>
      </c>
      <c r="E174" s="3" t="n">
        <f aca="false">E$8*E$10*(1-EXP(-2*$C174/SQRT(PI()*E$9*E$10)))</f>
        <v>0.000482154502114091</v>
      </c>
      <c r="F174" s="3" t="n">
        <f aca="false">F$8*F$10*(1-EXP(-2*$C174/SQRT(PI()*F$9*F$10)))</f>
        <v>0.000437645476358713</v>
      </c>
      <c r="G174" s="3" t="n">
        <f aca="false">G$8*G$10*(1-EXP(-2*$C174/SQRT(PI()*G$9*G$10)))</f>
        <v>0.000241077251057046</v>
      </c>
      <c r="H174" s="3" t="n">
        <f aca="false">H$8*H$10*(1-EXP(-2*$C174/SQRT(PI()*H$9*H$10)))</f>
        <v>5.19855442129636E-005</v>
      </c>
    </row>
    <row r="175" customFormat="false" ht="15.75" hidden="false" customHeight="false" outlineLevel="0" collapsed="false">
      <c r="C175" s="0" t="n">
        <v>16.3</v>
      </c>
      <c r="D175" s="3" t="n">
        <f aca="false">D$8*D$10*(1-EXP(-2*$C175/SQRT(PI()*D$9*D$10)))</f>
        <v>0.000519911869373094</v>
      </c>
      <c r="E175" s="3" t="n">
        <f aca="false">E$8*E$10*(1-EXP(-2*$C175/SQRT(PI()*E$9*E$10)))</f>
        <v>0.000482776831330656</v>
      </c>
      <c r="F175" s="3" t="n">
        <f aca="false">F$8*F$10*(1-EXP(-2*$C175/SQRT(PI()*F$9*F$10)))</f>
        <v>0.000438585964481879</v>
      </c>
      <c r="G175" s="3" t="n">
        <f aca="false">G$8*G$10*(1-EXP(-2*$C175/SQRT(PI()*G$9*G$10)))</f>
        <v>0.000241388415665328</v>
      </c>
      <c r="H175" s="3" t="n">
        <f aca="false">H$8*H$10*(1-EXP(-2*$C175/SQRT(PI()*H$9*H$10)))</f>
        <v>5.19911869373094E-005</v>
      </c>
    </row>
    <row r="176" customFormat="false" ht="15.75" hidden="false" customHeight="false" outlineLevel="0" collapsed="false">
      <c r="C176" s="0" t="n">
        <v>16.4</v>
      </c>
      <c r="D176" s="3" t="n">
        <f aca="false">D$8*D$10*(1-EXP(-2*$C176/SQRT(PI()*D$9*D$10)))</f>
        <v>0.000519966318651647</v>
      </c>
      <c r="E176" s="3" t="n">
        <f aca="false">E$8*E$10*(1-EXP(-2*$C176/SQRT(PI()*E$9*E$10)))</f>
        <v>0.000483389308427358</v>
      </c>
      <c r="F176" s="3" t="n">
        <f aca="false">F$8*F$10*(1-EXP(-2*$C176/SQRT(PI()*F$9*F$10)))</f>
        <v>0.000439515899981761</v>
      </c>
      <c r="G176" s="3" t="n">
        <f aca="false">G$8*G$10*(1-EXP(-2*$C176/SQRT(PI()*G$9*G$10)))</f>
        <v>0.000241694654213679</v>
      </c>
      <c r="H176" s="3" t="n">
        <f aca="false">H$8*H$10*(1-EXP(-2*$C176/SQRT(PI()*H$9*H$10)))</f>
        <v>5.19966318651647E-005</v>
      </c>
    </row>
    <row r="177" customFormat="false" ht="15.75" hidden="false" customHeight="false" outlineLevel="0" collapsed="false">
      <c r="C177" s="0" t="n">
        <v>16.5</v>
      </c>
      <c r="D177" s="3" t="n">
        <f aca="false">D$8*D$10*(1-EXP(-2*$C177/SQRT(PI()*D$9*D$10)))</f>
        <v>0.000520018859299627</v>
      </c>
      <c r="E177" s="3" t="n">
        <f aca="false">E$8*E$10*(1-EXP(-2*$C177/SQRT(PI()*E$9*E$10)))</f>
        <v>0.00048399208937352</v>
      </c>
      <c r="F177" s="3" t="n">
        <f aca="false">F$8*F$10*(1-EXP(-2*$C177/SQRT(PI()*F$9*F$10)))</f>
        <v>0.000440435401262683</v>
      </c>
      <c r="G177" s="3" t="n">
        <f aca="false">G$8*G$10*(1-EXP(-2*$C177/SQRT(PI()*G$9*G$10)))</f>
        <v>0.00024199604468676</v>
      </c>
      <c r="H177" s="3" t="n">
        <f aca="false">H$8*H$10*(1-EXP(-2*$C177/SQRT(PI()*H$9*H$10)))</f>
        <v>5.20018859299627E-005</v>
      </c>
    </row>
    <row r="178" customFormat="false" ht="15.75" hidden="false" customHeight="false" outlineLevel="0" collapsed="false">
      <c r="C178" s="0" t="n">
        <v>16.6</v>
      </c>
      <c r="D178" s="3" t="n">
        <f aca="false">D$8*D$10*(1-EXP(-2*$C178/SQRT(PI()*D$9*D$10)))</f>
        <v>0.000520069558220962</v>
      </c>
      <c r="E178" s="3" t="n">
        <f aca="false">E$8*E$10*(1-EXP(-2*$C178/SQRT(PI()*E$9*E$10)))</f>
        <v>0.000484585327669307</v>
      </c>
      <c r="F178" s="3" t="n">
        <f aca="false">F$8*F$10*(1-EXP(-2*$C178/SQRT(PI()*F$9*F$10)))</f>
        <v>0.000441344585400424</v>
      </c>
      <c r="G178" s="3" t="n">
        <f aca="false">G$8*G$10*(1-EXP(-2*$C178/SQRT(PI()*G$9*G$10)))</f>
        <v>0.000242292663834654</v>
      </c>
      <c r="H178" s="3" t="n">
        <f aca="false">H$8*H$10*(1-EXP(-2*$C178/SQRT(PI()*H$9*H$10)))</f>
        <v>5.20069558220963E-005</v>
      </c>
    </row>
    <row r="179" customFormat="false" ht="15.75" hidden="false" customHeight="false" outlineLevel="0" collapsed="false">
      <c r="C179" s="0" t="n">
        <v>16.7</v>
      </c>
      <c r="D179" s="3" t="n">
        <f aca="false">D$8*D$10*(1-EXP(-2*$C179/SQRT(PI()*D$9*D$10)))</f>
        <v>0.000520118479974374</v>
      </c>
      <c r="E179" s="3" t="n">
        <f aca="false">E$8*E$10*(1-EXP(-2*$C179/SQRT(PI()*E$9*E$10)))</f>
        <v>0.000485169174384817</v>
      </c>
      <c r="F179" s="3" t="n">
        <f aca="false">F$8*F$10*(1-EXP(-2*$C179/SQRT(PI()*F$9*F$10)))</f>
        <v>0.000442243568157134</v>
      </c>
      <c r="G179" s="3" t="n">
        <f aca="false">G$8*G$10*(1-EXP(-2*$C179/SQRT(PI()*G$9*G$10)))</f>
        <v>0.000242584587192408</v>
      </c>
      <c r="H179" s="3" t="n">
        <f aca="false">H$8*H$10*(1-EXP(-2*$C179/SQRT(PI()*H$9*H$10)))</f>
        <v>5.20118479974374E-005</v>
      </c>
    </row>
    <row r="180" customFormat="false" ht="15.75" hidden="false" customHeight="false" outlineLevel="0" collapsed="false">
      <c r="C180" s="0" t="n">
        <v>16.8</v>
      </c>
      <c r="D180" s="3" t="n">
        <f aca="false">D$8*D$10*(1-EXP(-2*$C180/SQRT(PI()*D$9*D$10)))</f>
        <v>0.000520165686855583</v>
      </c>
      <c r="E180" s="3" t="n">
        <f aca="false">E$8*E$10*(1-EXP(-2*$C180/SQRT(PI()*E$9*E$10)))</f>
        <v>0.000485743778198548</v>
      </c>
      <c r="F180" s="3" t="n">
        <f aca="false">F$8*F$10*(1-EXP(-2*$C180/SQRT(PI()*F$9*F$10)))</f>
        <v>0.000443132463996065</v>
      </c>
      <c r="G180" s="3" t="n">
        <f aca="false">G$8*G$10*(1-EXP(-2*$C180/SQRT(PI()*G$9*G$10)))</f>
        <v>0.000242871889099274</v>
      </c>
      <c r="H180" s="3" t="n">
        <f aca="false">H$8*H$10*(1-EXP(-2*$C180/SQRT(PI()*H$9*H$10)))</f>
        <v>5.20165686855583E-005</v>
      </c>
    </row>
    <row r="181" customFormat="false" ht="15.75" hidden="false" customHeight="false" outlineLevel="0" collapsed="false">
      <c r="C181" s="0" t="n">
        <v>16.9</v>
      </c>
      <c r="D181" s="3" t="n">
        <f aca="false">D$8*D$10*(1-EXP(-2*$C181/SQRT(PI()*D$9*D$10)))</f>
        <v>0.000520211238976635</v>
      </c>
      <c r="E181" s="3" t="n">
        <f aca="false">E$8*E$10*(1-EXP(-2*$C181/SQRT(PI()*E$9*E$10)))</f>
        <v>0.000486309285435266</v>
      </c>
      <c r="F181" s="3" t="n">
        <f aca="false">F$8*F$10*(1-EXP(-2*$C181/SQRT(PI()*F$9*F$10)))</f>
        <v>0.000444011386096154</v>
      </c>
      <c r="G181" s="3" t="n">
        <f aca="false">G$8*G$10*(1-EXP(-2*$C181/SQRT(PI()*G$9*G$10)))</f>
        <v>0.000243154642717633</v>
      </c>
      <c r="H181" s="3" t="n">
        <f aca="false">H$8*H$10*(1-EXP(-2*$C181/SQRT(PI()*H$9*H$10)))</f>
        <v>5.20211238976635E-005</v>
      </c>
    </row>
    <row r="182" customFormat="false" ht="15.75" hidden="false" customHeight="false" outlineLevel="0" collapsed="false">
      <c r="C182" s="0" t="n">
        <v>17</v>
      </c>
      <c r="D182" s="3" t="n">
        <f aca="false">D$8*D$10*(1-EXP(-2*$C182/SQRT(PI()*D$9*D$10)))</f>
        <v>0.000520255194342445</v>
      </c>
      <c r="E182" s="3" t="n">
        <f aca="false">E$8*E$10*(1-EXP(-2*$C182/SQRT(PI()*E$9*E$10)))</f>
        <v>0.000486865840103263</v>
      </c>
      <c r="F182" s="3" t="n">
        <f aca="false">F$8*F$10*(1-EXP(-2*$C182/SQRT(PI()*F$9*F$10)))</f>
        <v>0.000444880446366423</v>
      </c>
      <c r="G182" s="3" t="n">
        <f aca="false">G$8*G$10*(1-EXP(-2*$C182/SQRT(PI()*G$9*G$10)))</f>
        <v>0.000243432920051631</v>
      </c>
      <c r="H182" s="3" t="n">
        <f aca="false">H$8*H$10*(1-EXP(-2*$C182/SQRT(PI()*H$9*H$10)))</f>
        <v>5.20255194342445E-005</v>
      </c>
    </row>
    <row r="183" customFormat="false" ht="15.75" hidden="false" customHeight="false" outlineLevel="0" collapsed="false">
      <c r="C183" s="0" t="n">
        <v>17.1</v>
      </c>
      <c r="D183" s="3" t="n">
        <f aca="false">D$8*D$10*(1-EXP(-2*$C183/SQRT(PI()*D$9*D$10)))</f>
        <v>0.000520297608924662</v>
      </c>
      <c r="E183" s="3" t="n">
        <f aca="false">E$8*E$10*(1-EXP(-2*$C183/SQRT(PI()*E$9*E$10)))</f>
        <v>0.000487413583931028</v>
      </c>
      <c r="F183" s="3" t="n">
        <f aca="false">F$8*F$10*(1-EXP(-2*$C183/SQRT(PI()*F$9*F$10)))</f>
        <v>0.000445739755460238</v>
      </c>
      <c r="G183" s="3" t="n">
        <f aca="false">G$8*G$10*(1-EXP(-2*$C183/SQRT(PI()*G$9*G$10)))</f>
        <v>0.000243706791965514</v>
      </c>
      <c r="H183" s="3" t="n">
        <f aca="false">H$8*H$10*(1-EXP(-2*$C183/SQRT(PI()*H$9*H$10)))</f>
        <v>5.20297608924662E-005</v>
      </c>
    </row>
    <row r="184" customFormat="false" ht="15.75" hidden="false" customHeight="false" outlineLevel="0" collapsed="false">
      <c r="C184" s="0" t="n">
        <v>17.2</v>
      </c>
      <c r="D184" s="3" t="n">
        <f aca="false">D$8*D$10*(1-EXP(-2*$C184/SQRT(PI()*D$9*D$10)))</f>
        <v>0.000520338536732939</v>
      </c>
      <c r="E184" s="3" t="n">
        <f aca="false">E$8*E$10*(1-EXP(-2*$C184/SQRT(PI()*E$9*E$10)))</f>
        <v>0.000487952656403341</v>
      </c>
      <c r="F184" s="3" t="n">
        <f aca="false">F$8*F$10*(1-EXP(-2*$C184/SQRT(PI()*F$9*F$10)))</f>
        <v>0.000446589422789391</v>
      </c>
      <c r="G184" s="3" t="n">
        <f aca="false">G$8*G$10*(1-EXP(-2*$C184/SQRT(PI()*G$9*G$10)))</f>
        <v>0.00024397632820167</v>
      </c>
      <c r="H184" s="3" t="n">
        <f aca="false">H$8*H$10*(1-EXP(-2*$C184/SQRT(PI()*H$9*H$10)))</f>
        <v>5.20338536732939E-005</v>
      </c>
    </row>
    <row r="185" customFormat="false" ht="15.75" hidden="false" customHeight="false" outlineLevel="0" collapsed="false">
      <c r="C185" s="0" t="n">
        <v>17.3</v>
      </c>
      <c r="D185" s="3" t="n">
        <f aca="false">D$8*D$10*(1-EXP(-2*$C185/SQRT(PI()*D$9*D$10)))</f>
        <v>0.00052037802988371</v>
      </c>
      <c r="E185" s="3" t="n">
        <f aca="false">E$8*E$10*(1-EXP(-2*$C185/SQRT(PI()*E$9*E$10)))</f>
        <v>0.000488483194796794</v>
      </c>
      <c r="F185" s="3" t="n">
        <f aca="false">F$8*F$10*(1-EXP(-2*$C185/SQRT(PI()*F$9*F$10)))</f>
        <v>0.000447429556538035</v>
      </c>
      <c r="G185" s="3" t="n">
        <f aca="false">G$8*G$10*(1-EXP(-2*$C185/SQRT(PI()*G$9*G$10)))</f>
        <v>0.000244241597398397</v>
      </c>
      <c r="H185" s="3" t="n">
        <f aca="false">H$8*H$10*(1-EXP(-2*$C185/SQRT(PI()*H$9*H$10)))</f>
        <v>5.2037802988371E-005</v>
      </c>
    </row>
    <row r="186" customFormat="false" ht="15.75" hidden="false" customHeight="false" outlineLevel="0" collapsed="false">
      <c r="C186" s="0" t="n">
        <v>17.4</v>
      </c>
      <c r="D186" s="3" t="n">
        <f aca="false">D$8*D$10*(1-EXP(-2*$C186/SQRT(PI()*D$9*D$10)))</f>
        <v>0.000520416138666552</v>
      </c>
      <c r="E186" s="3" t="n">
        <f aca="false">E$8*E$10*(1-EXP(-2*$C186/SQRT(PI()*E$9*E$10)))</f>
        <v>0.000489005334214745</v>
      </c>
      <c r="F186" s="3" t="n">
        <f aca="false">F$8*F$10*(1-EXP(-2*$C186/SQRT(PI()*F$9*F$10)))</f>
        <v>0.000448260263676456</v>
      </c>
      <c r="G186" s="3" t="n">
        <f aca="false">G$8*G$10*(1-EXP(-2*$C186/SQRT(PI()*G$9*G$10)))</f>
        <v>0.000244502667107373</v>
      </c>
      <c r="H186" s="3" t="n">
        <f aca="false">H$8*H$10*(1-EXP(-2*$C186/SQRT(PI()*H$9*H$10)))</f>
        <v>5.20416138666552E-005</v>
      </c>
    </row>
    <row r="187" customFormat="false" ht="15.75" hidden="false" customHeight="false" outlineLevel="0" collapsed="false">
      <c r="C187" s="0" t="n">
        <v>17.5</v>
      </c>
      <c r="D187" s="3" t="n">
        <f aca="false">D$8*D$10*(1-EXP(-2*$C187/SQRT(PI()*D$9*D$10)))</f>
        <v>0.000520452911608223</v>
      </c>
      <c r="E187" s="3" t="n">
        <f aca="false">E$8*E$10*(1-EXP(-2*$C187/SQRT(PI()*E$9*E$10)))</f>
        <v>0.000489519207621728</v>
      </c>
      <c r="F187" s="3" t="n">
        <f aca="false">F$8*F$10*(1-EXP(-2*$C187/SQRT(PI()*F$9*F$10)))</f>
        <v>0.000449081649974694</v>
      </c>
      <c r="G187" s="3" t="n">
        <f aca="false">G$8*G$10*(1-EXP(-2*$C187/SQRT(PI()*G$9*G$10)))</f>
        <v>0.000244759603810864</v>
      </c>
      <c r="H187" s="3" t="n">
        <f aca="false">H$8*H$10*(1-EXP(-2*$C187/SQRT(PI()*H$9*H$10)))</f>
        <v>5.20452911608223E-005</v>
      </c>
    </row>
    <row r="188" customFormat="false" ht="15.75" hidden="false" customHeight="false" outlineLevel="0" collapsed="false">
      <c r="C188" s="0" t="n">
        <v>17.6</v>
      </c>
      <c r="D188" s="3" t="n">
        <f aca="false">D$8*D$10*(1-EXP(-2*$C188/SQRT(PI()*D$9*D$10)))</f>
        <v>0.000520488395534453</v>
      </c>
      <c r="E188" s="3" t="n">
        <f aca="false">E$8*E$10*(1-EXP(-2*$C188/SQRT(PI()*E$9*E$10)))</f>
        <v>0.000490024945877308</v>
      </c>
      <c r="F188" s="3" t="n">
        <f aca="false">F$8*F$10*(1-EXP(-2*$C188/SQRT(PI()*F$9*F$10)))</f>
        <v>0.000449893820016009</v>
      </c>
      <c r="G188" s="3" t="n">
        <f aca="false">G$8*G$10*(1-EXP(-2*$C188/SQRT(PI()*G$9*G$10)))</f>
        <v>0.000245012472938654</v>
      </c>
      <c r="H188" s="3" t="n">
        <f aca="false">H$8*H$10*(1-EXP(-2*$C188/SQRT(PI()*H$9*H$10)))</f>
        <v>5.20488395534453E-005</v>
      </c>
    </row>
    <row r="189" customFormat="false" ht="15.75" hidden="false" customHeight="false" outlineLevel="0" collapsed="false">
      <c r="C189" s="0" t="n">
        <v>17.7</v>
      </c>
      <c r="D189" s="3" t="n">
        <f aca="false">D$8*D$10*(1-EXP(-2*$C189/SQRT(PI()*D$9*D$10)))</f>
        <v>0.000520522635629575</v>
      </c>
      <c r="E189" s="3" t="n">
        <f aca="false">E$8*E$10*(1-EXP(-2*$C189/SQRT(PI()*E$9*E$10)))</f>
        <v>0.000490522677769406</v>
      </c>
      <c r="F189" s="3" t="n">
        <f aca="false">F$8*F$10*(1-EXP(-2*$C189/SQRT(PI()*F$9*F$10)))</f>
        <v>0.000450696877210202</v>
      </c>
      <c r="G189" s="3" t="n">
        <f aca="false">G$8*G$10*(1-EXP(-2*$C189/SQRT(PI()*G$9*G$10)))</f>
        <v>0.000245261338884703</v>
      </c>
      <c r="H189" s="3" t="n">
        <f aca="false">H$8*H$10*(1-EXP(-2*$C189/SQRT(PI()*H$9*H$10)))</f>
        <v>5.20522635629576E-005</v>
      </c>
    </row>
    <row r="190" customFormat="false" ht="15.75" hidden="false" customHeight="false" outlineLevel="0" collapsed="false">
      <c r="C190" s="0" t="n">
        <v>17.8</v>
      </c>
      <c r="D190" s="3" t="n">
        <f aca="false">D$8*D$10*(1-EXP(-2*$C190/SQRT(PI()*D$9*D$10)))</f>
        <v>0.000520555675494059</v>
      </c>
      <c r="E190" s="3" t="n">
        <f aca="false">E$8*E$10*(1-EXP(-2*$C190/SQRT(PI()*E$9*E$10)))</f>
        <v>0.000491012530047099</v>
      </c>
      <c r="F190" s="3" t="n">
        <f aca="false">F$8*F$10*(1-EXP(-2*$C190/SQRT(PI()*F$9*F$10)))</f>
        <v>0.000451490923806774</v>
      </c>
      <c r="G190" s="3" t="n">
        <f aca="false">G$8*G$10*(1-EXP(-2*$C190/SQRT(PI()*G$9*G$10)))</f>
        <v>0.00024550626502355</v>
      </c>
      <c r="H190" s="3" t="n">
        <f aca="false">H$8*H$10*(1-EXP(-2*$C190/SQRT(PI()*H$9*H$10)))</f>
        <v>5.20555675494059E-005</v>
      </c>
    </row>
    <row r="191" customFormat="false" ht="15.75" hidden="false" customHeight="false" outlineLevel="0" collapsed="false">
      <c r="C191" s="0" t="n">
        <v>17.9</v>
      </c>
      <c r="D191" s="3" t="n">
        <f aca="false">D$8*D$10*(1-EXP(-2*$C191/SQRT(PI()*D$9*D$10)))</f>
        <v>0.00052058755720003</v>
      </c>
      <c r="E191" s="3" t="n">
        <f aca="false">E$8*E$10*(1-EXP(-2*$C191/SQRT(PI()*E$9*E$10)))</f>
        <v>0.000491494627452892</v>
      </c>
      <c r="F191" s="3" t="n">
        <f aca="false">F$8*F$10*(1-EXP(-2*$C191/SQRT(PI()*F$9*F$10)))</f>
        <v>0.00045227606090795</v>
      </c>
      <c r="G191" s="3" t="n">
        <f aca="false">G$8*G$10*(1-EXP(-2*$C191/SQRT(PI()*G$9*G$10)))</f>
        <v>0.000245747313726446</v>
      </c>
      <c r="H191" s="3" t="n">
        <f aca="false">H$8*H$10*(1-EXP(-2*$C191/SQRT(PI()*H$9*H$10)))</f>
        <v>5.2058755720003E-005</v>
      </c>
    </row>
    <row r="192" customFormat="false" ht="15.75" hidden="false" customHeight="false" outlineLevel="0" collapsed="false">
      <c r="C192" s="0" t="n">
        <v>18</v>
      </c>
      <c r="D192" s="3" t="n">
        <f aca="false">D$8*D$10*(1-EXP(-2*$C192/SQRT(PI()*D$9*D$10)))</f>
        <v>0.000520618321344843</v>
      </c>
      <c r="E192" s="3" t="n">
        <f aca="false">E$8*E$10*(1-EXP(-2*$C192/SQRT(PI()*E$9*E$10)))</f>
        <v>0.000491969092754485</v>
      </c>
      <c r="F192" s="3" t="n">
        <f aca="false">F$8*F$10*(1-EXP(-2*$C192/SQRT(PI()*F$9*F$10)))</f>
        <v>0.000453052388481553</v>
      </c>
      <c r="G192" s="3" t="n">
        <f aca="false">G$8*G$10*(1-EXP(-2*$C192/SQRT(PI()*G$9*G$10)))</f>
        <v>0.000245984546377242</v>
      </c>
      <c r="H192" s="3" t="n">
        <f aca="false">H$8*H$10*(1-EXP(-2*$C192/SQRT(PI()*H$9*H$10)))</f>
        <v>5.20618321344843E-005</v>
      </c>
    </row>
    <row r="193" customFormat="false" ht="15.75" hidden="false" customHeight="false" outlineLevel="0" collapsed="false">
      <c r="C193" s="0" t="n">
        <v>18.1</v>
      </c>
      <c r="D193" s="3" t="n">
        <f aca="false">D$8*D$10*(1-EXP(-2*$C193/SQRT(PI()*D$9*D$10)))</f>
        <v>0.000520648007102781</v>
      </c>
      <c r="E193" s="3" t="n">
        <f aca="false">E$8*E$10*(1-EXP(-2*$C193/SQRT(PI()*E$9*E$10)))</f>
        <v>0.00049243604677604</v>
      </c>
      <c r="F193" s="3" t="n">
        <f aca="false">F$8*F$10*(1-EXP(-2*$C193/SQRT(PI()*F$9*F$10)))</f>
        <v>0.000453820005373726</v>
      </c>
      <c r="G193" s="3" t="n">
        <f aca="false">G$8*G$10*(1-EXP(-2*$C193/SQRT(PI()*G$9*G$10)))</f>
        <v>0.00024621802338802</v>
      </c>
      <c r="H193" s="3" t="n">
        <f aca="false">H$8*H$10*(1-EXP(-2*$C193/SQRT(PI()*H$9*H$10)))</f>
        <v>5.20648007102781E-005</v>
      </c>
    </row>
    <row r="194" customFormat="false" ht="15.75" hidden="false" customHeight="false" outlineLevel="0" collapsed="false">
      <c r="C194" s="0" t="n">
        <v>18.2</v>
      </c>
      <c r="D194" s="3" t="n">
        <f aca="false">D$8*D$10*(1-EXP(-2*$C194/SQRT(PI()*D$9*D$10)))</f>
        <v>0.000520676652274935</v>
      </c>
      <c r="E194" s="3" t="n">
        <f aca="false">E$8*E$10*(1-EXP(-2*$C194/SQRT(PI()*E$9*E$10)))</f>
        <v>0.000492895608428946</v>
      </c>
      <c r="F194" s="3" t="n">
        <f aca="false">F$8*F$10*(1-EXP(-2*$C194/SQRT(PI()*F$9*F$10)))</f>
        <v>0.000454579009321527</v>
      </c>
      <c r="G194" s="3" t="n">
        <f aca="false">G$8*G$10*(1-EXP(-2*$C194/SQRT(PI()*G$9*G$10)))</f>
        <v>0.000246447804214473</v>
      </c>
      <c r="H194" s="3" t="n">
        <f aca="false">H$8*H$10*(1-EXP(-2*$C194/SQRT(PI()*H$9*H$10)))</f>
        <v>5.20676652274935E-005</v>
      </c>
    </row>
    <row r="195" customFormat="false" ht="15.75" hidden="false" customHeight="false" outlineLevel="0" collapsed="false">
      <c r="C195" s="0" t="n">
        <v>18.3</v>
      </c>
      <c r="D195" s="3" t="n">
        <f aca="false">D$8*D$10*(1-EXP(-2*$C195/SQRT(PI()*D$9*D$10)))</f>
        <v>0.000520704293337341</v>
      </c>
      <c r="E195" s="3" t="n">
        <f aca="false">E$8*E$10*(1-EXP(-2*$C195/SQRT(PI()*E$9*E$10)))</f>
        <v>0.000493347894742099</v>
      </c>
      <c r="F195" s="3" t="n">
        <f aca="false">F$8*F$10*(1-EXP(-2*$C195/SQRT(PI()*F$9*F$10)))</f>
        <v>0.000455329496965363</v>
      </c>
      <c r="G195" s="3" t="n">
        <f aca="false">G$8*G$10*(1-EXP(-2*$C195/SQRT(PI()*G$9*G$10)))</f>
        <v>0.000246673947371049</v>
      </c>
      <c r="H195" s="3" t="n">
        <f aca="false">H$8*H$10*(1-EXP(-2*$C195/SQRT(PI()*H$9*H$10)))</f>
        <v>5.20704293337342E-005</v>
      </c>
    </row>
    <row r="196" customFormat="false" ht="15.75" hidden="false" customHeight="false" outlineLevel="0" collapsed="false">
      <c r="C196" s="0" t="n">
        <v>18.4</v>
      </c>
      <c r="D196" s="3" t="n">
        <f aca="false">D$8*D$10*(1-EXP(-2*$C196/SQRT(PI()*D$9*D$10)))</f>
        <v>0.000520730965487428</v>
      </c>
      <c r="E196" s="3" t="n">
        <f aca="false">E$8*E$10*(1-EXP(-2*$C196/SQRT(PI()*E$9*E$10)))</f>
        <v>0.000493793020891708</v>
      </c>
      <c r="F196" s="3" t="n">
        <f aca="false">F$8*F$10*(1-EXP(-2*$C196/SQRT(PI()*F$9*F$10)))</f>
        <v>0.000456071563861304</v>
      </c>
      <c r="G196" s="3" t="n">
        <f aca="false">G$8*G$10*(1-EXP(-2*$C196/SQRT(PI()*G$9*G$10)))</f>
        <v>0.000246896510445854</v>
      </c>
      <c r="H196" s="3" t="n">
        <f aca="false">H$8*H$10*(1-EXP(-2*$C196/SQRT(PI()*H$9*H$10)))</f>
        <v>5.20730965487428E-005</v>
      </c>
    </row>
    <row r="197" customFormat="false" ht="15.75" hidden="false" customHeight="false" outlineLevel="0" collapsed="false">
      <c r="C197" s="0" t="n">
        <v>18.5</v>
      </c>
      <c r="D197" s="3" t="n">
        <f aca="false">D$8*D$10*(1-EXP(-2*$C197/SQRT(PI()*D$9*D$10)))</f>
        <v>0.000520756702688835</v>
      </c>
      <c r="E197" s="3" t="n">
        <f aca="false">E$8*E$10*(1-EXP(-2*$C197/SQRT(PI()*E$9*E$10)))</f>
        <v>0.000494231100230621</v>
      </c>
      <c r="F197" s="3" t="n">
        <f aca="false">F$8*F$10*(1-EXP(-2*$C197/SQRT(PI()*F$9*F$10)))</f>
        <v>0.000456805304493244</v>
      </c>
      <c r="G197" s="3" t="n">
        <f aca="false">G$8*G$10*(1-EXP(-2*$C197/SQRT(PI()*G$9*G$10)))</f>
        <v>0.00024711555011531</v>
      </c>
      <c r="H197" s="3" t="n">
        <f aca="false">H$8*H$10*(1-EXP(-2*$C197/SQRT(PI()*H$9*H$10)))</f>
        <v>5.20756702688835E-005</v>
      </c>
    </row>
    <row r="198" customFormat="false" ht="15.75" hidden="false" customHeight="false" outlineLevel="0" collapsed="false">
      <c r="C198" s="0" t="n">
        <v>18.6</v>
      </c>
      <c r="D198" s="3" t="n">
        <f aca="false">D$8*D$10*(1-EXP(-2*$C198/SQRT(PI()*D$9*D$10)))</f>
        <v>0.000520781537714661</v>
      </c>
      <c r="E198" s="3" t="n">
        <f aca="false">E$8*E$10*(1-EXP(-2*$C198/SQRT(PI()*E$9*E$10)))</f>
        <v>0.000494662244317193</v>
      </c>
      <c r="F198" s="3" t="n">
        <f aca="false">F$8*F$10*(1-EXP(-2*$C198/SQRT(PI()*F$9*F$10)))</f>
        <v>0.000457530812284932</v>
      </c>
      <c r="G198" s="3" t="n">
        <f aca="false">G$8*G$10*(1-EXP(-2*$C198/SQRT(PI()*G$9*G$10)))</f>
        <v>0.000247331122158596</v>
      </c>
      <c r="H198" s="3" t="n">
        <f aca="false">H$8*H$10*(1-EXP(-2*$C198/SQRT(PI()*H$9*H$10)))</f>
        <v>5.20781537714661E-005</v>
      </c>
    </row>
    <row r="199" customFormat="false" ht="15.75" hidden="false" customHeight="false" outlineLevel="0" collapsed="false">
      <c r="C199" s="0" t="n">
        <v>18.7</v>
      </c>
      <c r="D199" s="3" t="n">
        <f aca="false">D$8*D$10*(1-EXP(-2*$C199/SQRT(PI()*D$9*D$10)))</f>
        <v>0.000520805502189199</v>
      </c>
      <c r="E199" s="3" t="n">
        <f aca="false">E$8*E$10*(1-EXP(-2*$C199/SQRT(PI()*E$9*E$10)))</f>
        <v>0.000495086562943694</v>
      </c>
      <c r="F199" s="3" t="n">
        <f aca="false">F$8*F$10*(1-EXP(-2*$C199/SQRT(PI()*F$9*F$10)))</f>
        <v>0.00045824817961187</v>
      </c>
      <c r="G199" s="3" t="n">
        <f aca="false">G$8*G$10*(1-EXP(-2*$C199/SQRT(PI()*G$9*G$10)))</f>
        <v>0.000247543281471847</v>
      </c>
      <c r="H199" s="3" t="n">
        <f aca="false">H$8*H$10*(1-EXP(-2*$C199/SQRT(PI()*H$9*H$10)))</f>
        <v>5.20805502189199E-005</v>
      </c>
    </row>
    <row r="200" customFormat="false" ht="15.75" hidden="false" customHeight="false" outlineLevel="0" collapsed="false">
      <c r="C200" s="0" t="n">
        <v>18.8</v>
      </c>
      <c r="D200" s="3" t="n">
        <f aca="false">D$8*D$10*(1-EXP(-2*$C200/SQRT(PI()*D$9*D$10)))</f>
        <v>0.000520828626628204</v>
      </c>
      <c r="E200" s="3" t="n">
        <f aca="false">E$8*E$10*(1-EXP(-2*$C200/SQRT(PI()*E$9*E$10)))</f>
        <v>0.000495504164164269</v>
      </c>
      <c r="F200" s="3" t="n">
        <f aca="false">F$8*F$10*(1-EXP(-2*$C200/SQRT(PI()*F$9*F$10)))</f>
        <v>0.000458957497813073</v>
      </c>
      <c r="G200" s="3" t="n">
        <f aca="false">G$8*G$10*(1-EXP(-2*$C200/SQRT(PI()*G$9*G$10)))</f>
        <v>0.000247752082082134</v>
      </c>
      <c r="H200" s="3" t="n">
        <f aca="false">H$8*H$10*(1-EXP(-2*$C200/SQRT(PI()*H$9*H$10)))</f>
        <v>5.20828626628204E-005</v>
      </c>
    </row>
    <row r="201" customFormat="false" ht="15.75" hidden="false" customHeight="false" outlineLevel="0" collapsed="false">
      <c r="C201" s="0" t="n">
        <v>18.9</v>
      </c>
      <c r="D201" s="3" t="n">
        <f aca="false">D$8*D$10*(1-EXP(-2*$C201/SQRT(PI()*D$9*D$10)))</f>
        <v>0.000520850940477748</v>
      </c>
      <c r="E201" s="3" t="n">
        <f aca="false">E$8*E$10*(1-EXP(-2*$C201/SQRT(PI()*E$9*E$10)))</f>
        <v>0.00049591515432245</v>
      </c>
      <c r="F201" s="3" t="n">
        <f aca="false">F$8*F$10*(1-EXP(-2*$C201/SQRT(PI()*F$9*F$10)))</f>
        <v>0.000459658857202695</v>
      </c>
      <c r="G201" s="3" t="n">
        <f aca="false">G$8*G$10*(1-EXP(-2*$C201/SQRT(PI()*G$9*G$10)))</f>
        <v>0.000247957577161225</v>
      </c>
      <c r="H201" s="3" t="n">
        <f aca="false">H$8*H$10*(1-EXP(-2*$C201/SQRT(PI()*H$9*H$10)))</f>
        <v>5.20850940477748E-005</v>
      </c>
    </row>
    <row r="202" customFormat="false" ht="15.75" hidden="false" customHeight="false" outlineLevel="0" collapsed="false">
      <c r="C202" s="0" t="n">
        <v>19</v>
      </c>
      <c r="D202" s="3" t="n">
        <f aca="false">D$8*D$10*(1-EXP(-2*$C202/SQRT(PI()*D$9*D$10)))</f>
        <v>0.000520872472151724</v>
      </c>
      <c r="E202" s="3" t="n">
        <f aca="false">E$8*E$10*(1-EXP(-2*$C202/SQRT(PI()*E$9*E$10)))</f>
        <v>0.000496319638078245</v>
      </c>
      <c r="F202" s="3" t="n">
        <f aca="false">F$8*F$10*(1-EXP(-2*$C202/SQRT(PI()*F$9*F$10)))</f>
        <v>0.000460352347081537</v>
      </c>
      <c r="G202" s="3" t="n">
        <f aca="false">G$8*G$10*(1-EXP(-2*$C202/SQRT(PI()*G$9*G$10)))</f>
        <v>0.000248159819039122</v>
      </c>
      <c r="H202" s="3" t="n">
        <f aca="false">H$8*H$10*(1-EXP(-2*$C202/SQRT(PI()*H$9*H$10)))</f>
        <v>5.20872472151724E-005</v>
      </c>
    </row>
    <row r="203" customFormat="false" ht="15.75" hidden="false" customHeight="false" outlineLevel="0" collapsed="false">
      <c r="C203" s="0" t="n">
        <v>19.1</v>
      </c>
      <c r="D203" s="3" t="n">
        <f aca="false">D$8*D$10*(1-EXP(-2*$C203/SQRT(PI()*D$9*D$10)))</f>
        <v>0.000520893249068017</v>
      </c>
      <c r="E203" s="3" t="n">
        <f aca="false">E$8*E$10*(1-EXP(-2*$C203/SQRT(PI()*E$9*E$10)))</f>
        <v>0.00049671771843478</v>
      </c>
      <c r="F203" s="3" t="n">
        <f aca="false">F$8*F$10*(1-EXP(-2*$C203/SQRT(PI()*F$9*F$10)))</f>
        <v>0.000461038055748409</v>
      </c>
      <c r="G203" s="3" t="n">
        <f aca="false">G$8*G$10*(1-EXP(-2*$C203/SQRT(PI()*G$9*G$10)))</f>
        <v>0.00024835885921739</v>
      </c>
      <c r="H203" s="3" t="n">
        <f aca="false">H$8*H$10*(1-EXP(-2*$C203/SQRT(PI()*H$9*H$10)))</f>
        <v>5.20893249068017E-005</v>
      </c>
    </row>
    <row r="204" customFormat="false" ht="15.75" hidden="false" customHeight="false" outlineLevel="0" collapsed="false">
      <c r="C204" s="0" t="n">
        <v>19.2</v>
      </c>
      <c r="D204" s="3" t="n">
        <f aca="false">D$8*D$10*(1-EXP(-2*$C204/SQRT(PI()*D$9*D$10)))</f>
        <v>0.000520913297683428</v>
      </c>
      <c r="E204" s="3" t="n">
        <f aca="false">E$8*E$10*(1-EXP(-2*$C204/SQRT(PI()*E$9*E$10)))</f>
        <v>0.000497109496764537</v>
      </c>
      <c r="F204" s="3" t="n">
        <f aca="false">F$8*F$10*(1-EXP(-2*$C204/SQRT(PI()*F$9*F$10)))</f>
        <v>0.000461716070511375</v>
      </c>
      <c r="G204" s="3" t="n">
        <f aca="false">G$8*G$10*(1-EXP(-2*$C204/SQRT(PI()*G$9*G$10)))</f>
        <v>0.000248554748382269</v>
      </c>
      <c r="H204" s="3" t="n">
        <f aca="false">H$8*H$10*(1-EXP(-2*$C204/SQRT(PI()*H$9*H$10)))</f>
        <v>5.20913297683428E-005</v>
      </c>
    </row>
    <row r="205" customFormat="false" ht="15.75" hidden="false" customHeight="false" outlineLevel="0" collapsed="false">
      <c r="C205" s="0" t="n">
        <v>19.3</v>
      </c>
      <c r="D205" s="3" t="n">
        <f aca="false">D$8*D$10*(1-EXP(-2*$C205/SQRT(PI()*D$9*D$10)))</f>
        <v>0.000520932643527354</v>
      </c>
      <c r="E205" s="3" t="n">
        <f aca="false">E$8*E$10*(1-EXP(-2*$C205/SQRT(PI()*E$9*E$10)))</f>
        <v>0.000497495072835167</v>
      </c>
      <c r="F205" s="3" t="n">
        <f aca="false">F$8*F$10*(1-EXP(-2*$C205/SQRT(PI()*F$9*F$10)))</f>
        <v>0.000462386477698874</v>
      </c>
      <c r="G205" s="3" t="n">
        <f aca="false">G$8*G$10*(1-EXP(-2*$C205/SQRT(PI()*G$9*G$10)))</f>
        <v>0.000248747536417584</v>
      </c>
      <c r="H205" s="3" t="n">
        <f aca="false">H$8*H$10*(1-EXP(-2*$C205/SQRT(PI()*H$9*H$10)))</f>
        <v>5.20932643527354E-005</v>
      </c>
    </row>
    <row r="206" customFormat="false" ht="15.75" hidden="false" customHeight="false" outlineLevel="0" collapsed="false">
      <c r="C206" s="0" t="n">
        <v>19.4</v>
      </c>
      <c r="D206" s="3" t="n">
        <f aca="false">D$8*D$10*(1-EXP(-2*$C206/SQRT(PI()*D$9*D$10)))</f>
        <v>0.000520951311234302</v>
      </c>
      <c r="E206" s="3" t="n">
        <f aca="false">E$8*E$10*(1-EXP(-2*$C206/SQRT(PI()*E$9*E$10)))</f>
        <v>0.000497874544834893</v>
      </c>
      <c r="F206" s="3" t="n">
        <f aca="false">F$8*F$10*(1-EXP(-2*$C206/SQRT(PI()*F$9*F$10)))</f>
        <v>0.000463049362670705</v>
      </c>
      <c r="G206" s="3" t="n">
        <f aca="false">G$8*G$10*(1-EXP(-2*$C206/SQRT(PI()*G$9*G$10)))</f>
        <v>0.000248937272417446</v>
      </c>
      <c r="H206" s="3" t="n">
        <f aca="false">H$8*H$10*(1-EXP(-2*$C206/SQRT(PI()*H$9*H$10)))</f>
        <v>5.20951311234302E-005</v>
      </c>
    </row>
    <row r="207" customFormat="false" ht="15.75" hidden="false" customHeight="false" outlineLevel="0" collapsed="false">
      <c r="C207" s="0" t="n">
        <v>19.5</v>
      </c>
      <c r="D207" s="3" t="n">
        <f aca="false">D$8*D$10*(1-EXP(-2*$C207/SQRT(PI()*D$9*D$10)))</f>
        <v>0.000520969324575258</v>
      </c>
      <c r="E207" s="3" t="n">
        <f aca="false">E$8*E$10*(1-EXP(-2*$C207/SQRT(PI()*E$9*E$10)))</f>
        <v>0.000498248009397516</v>
      </c>
      <c r="F207" s="3" t="n">
        <f aca="false">F$8*F$10*(1-EXP(-2*$C207/SQRT(PI()*F$9*F$10)))</f>
        <v>0.000463704809828898</v>
      </c>
      <c r="G207" s="3" t="n">
        <f aca="false">G$8*G$10*(1-EXP(-2*$C207/SQRT(PI()*G$9*G$10)))</f>
        <v>0.000249124004698758</v>
      </c>
      <c r="H207" s="3" t="n">
        <f aca="false">H$8*H$10*(1-EXP(-2*$C207/SQRT(PI()*H$9*H$10)))</f>
        <v>5.20969324575258E-005</v>
      </c>
    </row>
    <row r="208" customFormat="false" ht="15.75" hidden="false" customHeight="false" outlineLevel="0" collapsed="false">
      <c r="C208" s="0" t="n">
        <v>19.6</v>
      </c>
      <c r="D208" s="3" t="n">
        <f aca="false">D$8*D$10*(1-EXP(-2*$C208/SQRT(PI()*D$9*D$10)))</f>
        <v>0.000520986706487952</v>
      </c>
      <c r="E208" s="3" t="n">
        <f aca="false">E$8*E$10*(1-EXP(-2*$C208/SQRT(PI()*E$9*E$10)))</f>
        <v>0.000498615561627025</v>
      </c>
      <c r="F208" s="3" t="n">
        <f aca="false">F$8*F$10*(1-EXP(-2*$C208/SQRT(PI()*F$9*F$10)))</f>
        <v>0.000464352902628465</v>
      </c>
      <c r="G208" s="3" t="n">
        <f aca="false">G$8*G$10*(1-EXP(-2*$C208/SQRT(PI()*G$9*G$10)))</f>
        <v>0.000249307780813512</v>
      </c>
      <c r="H208" s="3" t="n">
        <f aca="false">H$8*H$10*(1-EXP(-2*$C208/SQRT(PI()*H$9*H$10)))</f>
        <v>5.20986706487952E-005</v>
      </c>
    </row>
    <row r="209" customFormat="false" ht="15.75" hidden="false" customHeight="false" outlineLevel="0" collapsed="false">
      <c r="C209" s="0" t="n">
        <v>19.7</v>
      </c>
      <c r="D209" s="3" t="n">
        <f aca="false">D$8*D$10*(1-EXP(-2*$C209/SQRT(PI()*D$9*D$10)))</f>
        <v>0.000521003479106072</v>
      </c>
      <c r="E209" s="3" t="n">
        <f aca="false">E$8*E$10*(1-EXP(-2*$C209/SQRT(PI()*E$9*E$10)))</f>
        <v>0.000498977295121812</v>
      </c>
      <c r="F209" s="3" t="n">
        <f aca="false">F$8*F$10*(1-EXP(-2*$C209/SQRT(PI()*F$9*F$10)))</f>
        <v>0.000464993723588018</v>
      </c>
      <c r="G209" s="3" t="n">
        <f aca="false">G$8*G$10*(1-EXP(-2*$C209/SQRT(PI()*G$9*G$10)))</f>
        <v>0.000249488647560906</v>
      </c>
      <c r="H209" s="3" t="n">
        <f aca="false">H$8*H$10*(1-EXP(-2*$C209/SQRT(PI()*H$9*H$10)))</f>
        <v>5.21003479106072E-005</v>
      </c>
    </row>
    <row r="210" customFormat="false" ht="15.75" hidden="false" customHeight="false" outlineLevel="0" collapsed="false">
      <c r="C210" s="0" t="n">
        <v>19.8</v>
      </c>
      <c r="D210" s="3" t="n">
        <f aca="false">D$8*D$10*(1-EXP(-2*$C210/SQRT(PI()*D$9*D$10)))</f>
        <v>0.000521019663787445</v>
      </c>
      <c r="E210" s="3" t="n">
        <f aca="false">E$8*E$10*(1-EXP(-2*$C210/SQRT(PI()*E$9*E$10)))</f>
        <v>0.000499333301998511</v>
      </c>
      <c r="F210" s="3" t="n">
        <f aca="false">F$8*F$10*(1-EXP(-2*$C210/SQRT(PI()*F$9*F$10)))</f>
        <v>0.000465627354300283</v>
      </c>
      <c r="G210" s="3" t="n">
        <f aca="false">G$8*G$10*(1-EXP(-2*$C210/SQRT(PI()*G$9*G$10)))</f>
        <v>0.000249666650999255</v>
      </c>
      <c r="H210" s="3" t="n">
        <f aca="false">H$8*H$10*(1-EXP(-2*$C210/SQRT(PI()*H$9*H$10)))</f>
        <v>5.21019663787445E-005</v>
      </c>
    </row>
    <row r="211" customFormat="false" ht="15.75" hidden="false" customHeight="false" outlineLevel="0" collapsed="false">
      <c r="C211" s="0" t="n">
        <v>19.9</v>
      </c>
      <c r="D211" s="3" t="n">
        <f aca="false">D$8*D$10*(1-EXP(-2*$C211/SQRT(PI()*D$9*D$10)))</f>
        <v>0.000521035281141233</v>
      </c>
      <c r="E211" s="3" t="n">
        <f aca="false">E$8*E$10*(1-EXP(-2*$C211/SQRT(PI()*E$9*E$10)))</f>
        <v>0.000499683672915451</v>
      </c>
      <c r="F211" s="3" t="n">
        <f aca="false">F$8*F$10*(1-EXP(-2*$C211/SQRT(PI()*F$9*F$10)))</f>
        <v>0.000466253875442482</v>
      </c>
      <c r="G211" s="3" t="n">
        <f aca="false">G$8*G$10*(1-EXP(-2*$C211/SQRT(PI()*G$9*G$10)))</f>
        <v>0.000249841836457726</v>
      </c>
      <c r="H211" s="3" t="n">
        <f aca="false">H$8*H$10*(1-EXP(-2*$C211/SQRT(PI()*H$9*H$10)))</f>
        <v>5.21035281141233E-005</v>
      </c>
    </row>
    <row r="212" customFormat="false" ht="15.75" hidden="false" customHeight="false" outlineLevel="0" collapsed="false">
      <c r="C212" s="0" t="n">
        <v>20</v>
      </c>
      <c r="D212" s="3" t="n">
        <f aca="false">D$8*D$10*(1-EXP(-2*$C212/SQRT(PI()*D$9*D$10)))</f>
        <v>0.000521050351054178</v>
      </c>
      <c r="E212" s="3" t="n">
        <f aca="false">E$8*E$10*(1-EXP(-2*$C212/SQRT(PI()*E$9*E$10)))</f>
        <v>0.000500028497095749</v>
      </c>
      <c r="F212" s="3" t="n">
        <f aca="false">F$8*F$10*(1-EXP(-2*$C212/SQRT(PI()*F$9*F$10)))</f>
        <v>0.000466873366786612</v>
      </c>
      <c r="G212" s="3" t="n">
        <f aca="false">G$8*G$10*(1-EXP(-2*$C212/SQRT(PI()*G$9*G$10)))</f>
        <v>0.000250014248547874</v>
      </c>
      <c r="H212" s="3" t="n">
        <f aca="false">H$8*H$10*(1-EXP(-2*$C212/SQRT(PI()*H$9*H$10)))</f>
        <v>5.21050351054178E-005</v>
      </c>
    </row>
    <row r="213" customFormat="false" ht="15.75" hidden="false" customHeight="false" outlineLevel="0" collapsed="false">
      <c r="C213" s="0" t="n">
        <v>20.1</v>
      </c>
      <c r="D213" s="3" t="n">
        <f aca="false">D$8*D$10*(1-EXP(-2*$C213/SQRT(PI()*D$9*D$10)))</f>
        <v>0.000521064892715927</v>
      </c>
      <c r="E213" s="3" t="n">
        <f aca="false">E$8*E$10*(1-EXP(-2*$C213/SQRT(PI()*E$9*E$10)))</f>
        <v>0.000500367862350022</v>
      </c>
      <c r="F213" s="3" t="n">
        <f aca="false">F$8*F$10*(1-EXP(-2*$C213/SQRT(PI()*F$9*F$10)))</f>
        <v>0.000467485907209597</v>
      </c>
      <c r="G213" s="3" t="n">
        <f aca="false">G$8*G$10*(1-EXP(-2*$C213/SQRT(PI()*G$9*G$10)))</f>
        <v>0.000250183931175011</v>
      </c>
      <c r="H213" s="3" t="n">
        <f aca="false">H$8*H$10*(1-EXP(-2*$C213/SQRT(PI()*H$9*H$10)))</f>
        <v>5.21064892715927E-005</v>
      </c>
    </row>
    <row r="214" customFormat="false" ht="15.75" hidden="false" customHeight="false" outlineLevel="0" collapsed="false">
      <c r="C214" s="0" t="n">
        <v>20.2</v>
      </c>
      <c r="D214" s="3" t="n">
        <f aca="false">D$8*D$10*(1-EXP(-2*$C214/SQRT(PI()*D$9*D$10)))</f>
        <v>0.000521078924643461</v>
      </c>
      <c r="E214" s="3" t="n">
        <f aca="false">E$8*E$10*(1-EXP(-2*$C214/SQRT(PI()*E$9*E$10)))</f>
        <v>0.000500701855098759</v>
      </c>
      <c r="F214" s="3" t="n">
        <f aca="false">F$8*F$10*(1-EXP(-2*$C214/SQRT(PI()*F$9*F$10)))</f>
        <v>0.000468091574703334</v>
      </c>
      <c r="G214" s="3" t="n">
        <f aca="false">G$8*G$10*(1-EXP(-2*$C214/SQRT(PI()*G$9*G$10)))</f>
        <v>0.000250350927549379</v>
      </c>
      <c r="H214" s="3" t="n">
        <f aca="false">H$8*H$10*(1-EXP(-2*$C214/SQRT(PI()*H$9*H$10)))</f>
        <v>5.21078924643461E-005</v>
      </c>
    </row>
    <row r="215" customFormat="false" ht="15.75" hidden="false" customHeight="false" outlineLevel="0" collapsed="false">
      <c r="C215" s="0" t="n">
        <v>20.3</v>
      </c>
      <c r="D215" s="3" t="n">
        <f aca="false">D$8*D$10*(1-EXP(-2*$C215/SQRT(PI()*D$9*D$10)))</f>
        <v>0.000521092464704682</v>
      </c>
      <c r="E215" s="3" t="n">
        <f aca="false">E$8*E$10*(1-EXP(-2*$C215/SQRT(PI()*E$9*E$10)))</f>
        <v>0.000501030560394317</v>
      </c>
      <c r="F215" s="3" t="n">
        <f aca="false">F$8*F$10*(1-EXP(-2*$C215/SQRT(PI()*F$9*F$10)))</f>
        <v>0.000468690446384622</v>
      </c>
      <c r="G215" s="3" t="n">
        <f aca="false">G$8*G$10*(1-EXP(-2*$C215/SQRT(PI()*G$9*G$10)))</f>
        <v>0.000250515280197159</v>
      </c>
      <c r="H215" s="3" t="n">
        <f aca="false">H$8*H$10*(1-EXP(-2*$C215/SQRT(PI()*H$9*H$10)))</f>
        <v>5.21092464704682E-005</v>
      </c>
    </row>
    <row r="216" customFormat="false" ht="15.75" hidden="false" customHeight="false" outlineLevel="0" collapsed="false">
      <c r="C216" s="0" t="n">
        <v>20.4</v>
      </c>
      <c r="D216" s="3" t="n">
        <f aca="false">D$8*D$10*(1-EXP(-2*$C216/SQRT(PI()*D$9*D$10)))</f>
        <v>0.000521105530141161</v>
      </c>
      <c r="E216" s="3" t="n">
        <f aca="false">E$8*E$10*(1-EXP(-2*$C216/SQRT(PI()*E$9*E$10)))</f>
        <v>0.000501354061942591</v>
      </c>
      <c r="F216" s="3" t="n">
        <f aca="false">F$8*F$10*(1-EXP(-2*$C216/SQRT(PI()*F$9*F$10)))</f>
        <v>0.000469282598504979</v>
      </c>
      <c r="G216" s="3" t="n">
        <f aca="false">G$8*G$10*(1-EXP(-2*$C216/SQRT(PI()*G$9*G$10)))</f>
        <v>0.000250677030971296</v>
      </c>
      <c r="H216" s="3" t="n">
        <f aca="false">H$8*H$10*(1-EXP(-2*$C216/SQRT(PI()*H$9*H$10)))</f>
        <v>5.21105530141161E-005</v>
      </c>
    </row>
    <row r="217" customFormat="false" ht="15.75" hidden="false" customHeight="false" outlineLevel="0" collapsed="false">
      <c r="C217" s="0" t="n">
        <v>20.5</v>
      </c>
      <c r="D217" s="3" t="n">
        <f aca="false">D$8*D$10*(1-EXP(-2*$C217/SQRT(PI()*D$9*D$10)))</f>
        <v>0.000521118137590093</v>
      </c>
      <c r="E217" s="3" t="n">
        <f aca="false">E$8*E$10*(1-EXP(-2*$C217/SQRT(PI()*E$9*E$10)))</f>
        <v>0.000501672442124321</v>
      </c>
      <c r="F217" s="3" t="n">
        <f aca="false">F$8*F$10*(1-EXP(-2*$C217/SQRT(PI()*F$9*F$10)))</f>
        <v>0.000469868106460357</v>
      </c>
      <c r="G217" s="3" t="n">
        <f aca="false">G$8*G$10*(1-EXP(-2*$C217/SQRT(PI()*G$9*G$10)))</f>
        <v>0.000250836221062161</v>
      </c>
      <c r="H217" s="3" t="n">
        <f aca="false">H$8*H$10*(1-EXP(-2*$C217/SQRT(PI()*H$9*H$10)))</f>
        <v>5.21118137590093E-005</v>
      </c>
    </row>
    <row r="218" customFormat="false" ht="15.75" hidden="false" customHeight="false" outlineLevel="0" collapsed="false">
      <c r="C218" s="0" t="n">
        <v>20.6</v>
      </c>
      <c r="D218" s="3" t="n">
        <f aca="false">D$8*D$10*(1-EXP(-2*$C218/SQRT(PI()*D$9*D$10)))</f>
        <v>0.000521130303105483</v>
      </c>
      <c r="E218" s="3" t="n">
        <f aca="false">E$8*E$10*(1-EXP(-2*$C218/SQRT(PI()*E$9*E$10)))</f>
        <v>0.000501985782016075</v>
      </c>
      <c r="F218" s="3" t="n">
        <f aca="false">F$8*F$10*(1-EXP(-2*$C218/SQRT(PI()*F$9*F$10)))</f>
        <v>0.000470447044800733</v>
      </c>
      <c r="G218" s="3" t="n">
        <f aca="false">G$8*G$10*(1-EXP(-2*$C218/SQRT(PI()*G$9*G$10)))</f>
        <v>0.000250992891008038</v>
      </c>
      <c r="H218" s="3" t="n">
        <f aca="false">H$8*H$10*(1-EXP(-2*$C218/SQRT(PI()*H$9*H$10)))</f>
        <v>5.21130303105483E-005</v>
      </c>
    </row>
    <row r="219" customFormat="false" ht="15.75" hidden="false" customHeight="false" outlineLevel="0" collapsed="false">
      <c r="C219" s="0" t="n">
        <v>20.7</v>
      </c>
      <c r="D219" s="3" t="n">
        <f aca="false">D$8*D$10*(1-EXP(-2*$C219/SQRT(PI()*D$9*D$10)))</f>
        <v>0.000521142042178592</v>
      </c>
      <c r="E219" s="3" t="n">
        <f aca="false">E$8*E$10*(1-EXP(-2*$C219/SQRT(PI()*E$9*E$10)))</f>
        <v>0.000502294161410895</v>
      </c>
      <c r="F219" s="3" t="n">
        <f aca="false">F$8*F$10*(1-EXP(-2*$C219/SQRT(PI()*F$9*F$10)))</f>
        <v>0.000471019487239609</v>
      </c>
      <c r="G219" s="3" t="n">
        <f aca="false">G$8*G$10*(1-EXP(-2*$C219/SQRT(PI()*G$9*G$10)))</f>
        <v>0.000251147080705447</v>
      </c>
      <c r="H219" s="3" t="n">
        <f aca="false">H$8*H$10*(1-EXP(-2*$C219/SQRT(PI()*H$9*H$10)))</f>
        <v>5.21142042178592E-005</v>
      </c>
    </row>
    <row r="220" customFormat="false" ht="15.75" hidden="false" customHeight="false" outlineLevel="0" collapsed="false">
      <c r="C220" s="0" t="n">
        <v>20.8</v>
      </c>
      <c r="D220" s="3" t="n">
        <f aca="false">D$8*D$10*(1-EXP(-2*$C220/SQRT(PI()*D$9*D$10)))</f>
        <v>0.000521153369757656</v>
      </c>
      <c r="E220" s="3" t="n">
        <f aca="false">E$8*E$10*(1-EXP(-2*$C220/SQRT(PI()*E$9*E$10)))</f>
        <v>0.000502597658838614</v>
      </c>
      <c r="F220" s="3" t="n">
        <f aca="false">F$8*F$10*(1-EXP(-2*$C220/SQRT(PI()*F$9*F$10)))</f>
        <v>0.000471585506663394</v>
      </c>
      <c r="G220" s="3" t="n">
        <f aca="false">G$8*G$10*(1-EXP(-2*$C220/SQRT(PI()*G$9*G$10)))</f>
        <v>0.000251298829419307</v>
      </c>
      <c r="H220" s="3" t="n">
        <f aca="false">H$8*H$10*(1-EXP(-2*$C220/SQRT(PI()*H$9*H$10)))</f>
        <v>5.21153369757656E-005</v>
      </c>
    </row>
    <row r="221" customFormat="false" ht="15.75" hidden="false" customHeight="false" outlineLevel="0" collapsed="false">
      <c r="C221" s="0" t="n">
        <v>20.9</v>
      </c>
      <c r="D221" s="3" t="n">
        <f aca="false">D$8*D$10*(1-EXP(-2*$C221/SQRT(PI()*D$9*D$10)))</f>
        <v>0.000521164300266927</v>
      </c>
      <c r="E221" s="3" t="n">
        <f aca="false">E$8*E$10*(1-EXP(-2*$C221/SQRT(PI()*E$9*E$10)))</f>
        <v>0.000502896351585859</v>
      </c>
      <c r="F221" s="3" t="n">
        <f aca="false">F$8*F$10*(1-EXP(-2*$C221/SQRT(PI()*F$9*F$10)))</f>
        <v>0.000472145175140683</v>
      </c>
      <c r="G221" s="3" t="n">
        <f aca="false">G$8*G$10*(1-EXP(-2*$C221/SQRT(PI()*G$9*G$10)))</f>
        <v>0.000251448175792929</v>
      </c>
      <c r="H221" s="3" t="n">
        <f aca="false">H$8*H$10*(1-EXP(-2*$C221/SQRT(PI()*H$9*H$10)))</f>
        <v>5.21164300266927E-005</v>
      </c>
    </row>
    <row r="222" customFormat="false" ht="15.75" hidden="false" customHeight="false" outlineLevel="0" collapsed="false">
      <c r="C222" s="0" t="n">
        <v>21</v>
      </c>
      <c r="D222" s="3" t="n">
        <f aca="false">D$8*D$10*(1-EXP(-2*$C222/SQRT(PI()*D$9*D$10)))</f>
        <v>0.00052117484762504</v>
      </c>
      <c r="E222" s="3" t="n">
        <f aca="false">E$8*E$10*(1-EXP(-2*$C222/SQRT(PI()*E$9*E$10)))</f>
        <v>0.000503190315715726</v>
      </c>
      <c r="F222" s="3" t="n">
        <f aca="false">F$8*F$10*(1-EXP(-2*$C222/SQRT(PI()*F$9*F$10)))</f>
        <v>0.000472698563931437</v>
      </c>
      <c r="G222" s="3" t="n">
        <f aca="false">G$8*G$10*(1-EXP(-2*$C222/SQRT(PI()*G$9*G$10)))</f>
        <v>0.000251595157857863</v>
      </c>
      <c r="H222" s="3" t="n">
        <f aca="false">H$8*H$10*(1-EXP(-2*$C222/SQRT(PI()*H$9*H$10)))</f>
        <v>5.2117484762504E-005</v>
      </c>
    </row>
    <row r="223" customFormat="false" ht="15.75" hidden="false" customHeight="false" outlineLevel="0" collapsed="false">
      <c r="C223" s="0" t="n">
        <v>21.1</v>
      </c>
      <c r="D223" s="3" t="n">
        <f aca="false">D$8*D$10*(1-EXP(-2*$C223/SQRT(PI()*D$9*D$10)))</f>
        <v>0.000521185025262733</v>
      </c>
      <c r="E223" s="3" t="n">
        <f aca="false">E$8*E$10*(1-EXP(-2*$C223/SQRT(PI()*E$9*E$10)))</f>
        <v>0.000503479626087156</v>
      </c>
      <c r="F223" s="3" t="n">
        <f aca="false">F$8*F$10*(1-EXP(-2*$C223/SQRT(PI()*F$9*F$10)))</f>
        <v>0.000473245743496051</v>
      </c>
      <c r="G223" s="3" t="n">
        <f aca="false">G$8*G$10*(1-EXP(-2*$C223/SQRT(PI()*G$9*G$10)))</f>
        <v>0.000251739813043578</v>
      </c>
      <c r="H223" s="3" t="n">
        <f aca="false">H$8*H$10*(1-EXP(-2*$C223/SQRT(PI()*H$9*H$10)))</f>
        <v>5.21185025262733E-005</v>
      </c>
    </row>
    <row r="224" customFormat="false" ht="15.75" hidden="false" customHeight="false" outlineLevel="0" collapsed="false">
      <c r="C224" s="0" t="n">
        <v>21.2</v>
      </c>
      <c r="D224" s="3" t="n">
        <f aca="false">D$8*D$10*(1-EXP(-2*$C224/SQRT(PI()*D$9*D$10)))</f>
        <v>0.00052119484613995</v>
      </c>
      <c r="E224" s="3" t="n">
        <f aca="false">E$8*E$10*(1-EXP(-2*$C224/SQRT(PI()*E$9*E$10)))</f>
        <v>0.000503764356373993</v>
      </c>
      <c r="F224" s="3" t="n">
        <f aca="false">F$8*F$10*(1-EXP(-2*$C224/SQRT(PI()*F$9*F$10)))</f>
        <v>0.000473786783504331</v>
      </c>
      <c r="G224" s="3" t="n">
        <f aca="false">G$8*G$10*(1-EXP(-2*$C224/SQRT(PI()*G$9*G$10)))</f>
        <v>0.000251882178186997</v>
      </c>
      <c r="H224" s="3" t="n">
        <f aca="false">H$8*H$10*(1-EXP(-2*$C224/SQRT(PI()*H$9*H$10)))</f>
        <v>5.2119484613995E-005</v>
      </c>
    </row>
    <row r="225" customFormat="false" ht="15.75" hidden="false" customHeight="false" outlineLevel="0" collapsed="false">
      <c r="C225" s="0" t="n">
        <v>21.3</v>
      </c>
      <c r="D225" s="3" t="n">
        <f aca="false">D$8*D$10*(1-EXP(-2*$C225/SQRT(PI()*D$9*D$10)))</f>
        <v>0.000521204322762349</v>
      </c>
      <c r="E225" s="3" t="n">
        <f aca="false">E$8*E$10*(1-EXP(-2*$C225/SQRT(PI()*E$9*E$10)))</f>
        <v>0.000504044579083748</v>
      </c>
      <c r="F225" s="3" t="n">
        <f aca="false">F$8*F$10*(1-EXP(-2*$C225/SQRT(PI()*F$9*F$10)))</f>
        <v>0.000474321752844362</v>
      </c>
      <c r="G225" s="3" t="n">
        <f aca="false">G$8*G$10*(1-EXP(-2*$C225/SQRT(PI()*G$9*G$10)))</f>
        <v>0.000252022289541874</v>
      </c>
      <c r="H225" s="3" t="n">
        <f aca="false">H$8*H$10*(1-EXP(-2*$C225/SQRT(PI()*H$9*H$10)))</f>
        <v>5.21204322762349E-005</v>
      </c>
    </row>
    <row r="226" customFormat="false" ht="15.75" hidden="false" customHeight="false" outlineLevel="0" collapsed="false">
      <c r="C226" s="0" t="n">
        <v>21.4</v>
      </c>
      <c r="D226" s="3" t="n">
        <f aca="false">D$8*D$10*(1-EXP(-2*$C226/SQRT(PI()*D$9*D$10)))</f>
        <v>0.00052121346719722</v>
      </c>
      <c r="E226" s="3" t="n">
        <f aca="false">E$8*E$10*(1-EXP(-2*$C226/SQRT(PI()*E$9*E$10)))</f>
        <v>0.000504320365576062</v>
      </c>
      <c r="F226" s="3" t="n">
        <f aca="false">F$8*F$10*(1-EXP(-2*$C226/SQRT(PI()*F$9*F$10)))</f>
        <v>0.000474850719631278</v>
      </c>
      <c r="G226" s="3" t="n">
        <f aca="false">G$8*G$10*(1-EXP(-2*$C226/SQRT(PI()*G$9*G$10)))</f>
        <v>0.000252160182788031</v>
      </c>
      <c r="H226" s="3" t="n">
        <f aca="false">H$8*H$10*(1-EXP(-2*$C226/SQRT(PI()*H$9*H$10)))</f>
        <v>5.2121346719722E-005</v>
      </c>
    </row>
    <row r="227" customFormat="false" ht="15.75" hidden="false" customHeight="false" outlineLevel="0" collapsed="false">
      <c r="C227" s="0" t="n">
        <v>21.5</v>
      </c>
      <c r="D227" s="3" t="n">
        <f aca="false">D$8*D$10*(1-EXP(-2*$C227/SQRT(PI()*D$9*D$10)))</f>
        <v>0.000521222291088855</v>
      </c>
      <c r="E227" s="3" t="n">
        <f aca="false">E$8*E$10*(1-EXP(-2*$C227/SQRT(PI()*E$9*E$10)))</f>
        <v>0.000504591786080879</v>
      </c>
      <c r="F227" s="3" t="n">
        <f aca="false">F$8*F$10*(1-EXP(-2*$C227/SQRT(PI()*F$9*F$10)))</f>
        <v>0.000475373751215937</v>
      </c>
      <c r="G227" s="3" t="n">
        <f aca="false">G$8*G$10*(1-EXP(-2*$C227/SQRT(PI()*G$9*G$10)))</f>
        <v>0.00025229589304044</v>
      </c>
      <c r="H227" s="3" t="n">
        <f aca="false">H$8*H$10*(1-EXP(-2*$C227/SQRT(PI()*H$9*H$10)))</f>
        <v>5.21222291088855E-005</v>
      </c>
    </row>
    <row r="228" customFormat="false" ht="15.75" hidden="false" customHeight="false" outlineLevel="0" collapsed="false">
      <c r="C228" s="0" t="n">
        <v>21.6</v>
      </c>
      <c r="D228" s="3" t="n">
        <f aca="false">D$8*D$10*(1-EXP(-2*$C228/SQRT(PI()*D$9*D$10)))</f>
        <v>0.000521230805673373</v>
      </c>
      <c r="E228" s="3" t="n">
        <f aca="false">E$8*E$10*(1-EXP(-2*$C228/SQRT(PI()*E$9*E$10)))</f>
        <v>0.00050485890971633</v>
      </c>
      <c r="F228" s="3" t="n">
        <f aca="false">F$8*F$10*(1-EXP(-2*$C228/SQRT(PI()*F$9*F$10)))</f>
        <v>0.000475890914193495</v>
      </c>
      <c r="G228" s="3" t="n">
        <f aca="false">G$8*G$10*(1-EXP(-2*$C228/SQRT(PI()*G$9*G$10)))</f>
        <v>0.000252429454858165</v>
      </c>
      <c r="H228" s="3" t="n">
        <f aca="false">H$8*H$10*(1-EXP(-2*$C228/SQRT(PI()*H$9*H$10)))</f>
        <v>5.21230805673373E-005</v>
      </c>
    </row>
    <row r="229" customFormat="false" ht="15.75" hidden="false" customHeight="false" outlineLevel="0" collapsed="false">
      <c r="C229" s="0" t="n">
        <v>21.7</v>
      </c>
      <c r="D229" s="3" t="n">
        <f aca="false">D$8*D$10*(1-EXP(-2*$C229/SQRT(PI()*D$9*D$10)))</f>
        <v>0.00052123902179303</v>
      </c>
      <c r="E229" s="3" t="n">
        <f aca="false">E$8*E$10*(1-EXP(-2*$C229/SQRT(PI()*E$9*E$10)))</f>
        <v>0.000505121804506333</v>
      </c>
      <c r="F229" s="3" t="n">
        <f aca="false">F$8*F$10*(1-EXP(-2*$C229/SQRT(PI()*F$9*F$10)))</f>
        <v>0.000476402274411886</v>
      </c>
      <c r="G229" s="3" t="n">
        <f aca="false">G$8*G$10*(1-EXP(-2*$C229/SQRT(PI()*G$9*G$10)))</f>
        <v>0.000252560902253166</v>
      </c>
      <c r="H229" s="3" t="n">
        <f aca="false">H$8*H$10*(1-EXP(-2*$C229/SQRT(PI()*H$9*H$10)))</f>
        <v>5.2123902179303E-005</v>
      </c>
    </row>
    <row r="230" customFormat="false" ht="15.75" hidden="false" customHeight="false" outlineLevel="0" collapsed="false">
      <c r="C230" s="0" t="n">
        <v>21.8</v>
      </c>
      <c r="D230" s="3" t="n">
        <f aca="false">D$8*D$10*(1-EXP(-2*$C230/SQRT(PI()*D$9*D$10)))</f>
        <v>0.000521246949910025</v>
      </c>
      <c r="E230" s="3" t="n">
        <f aca="false">E$8*E$10*(1-EXP(-2*$C230/SQRT(PI()*E$9*E$10)))</f>
        <v>0.000505380537397917</v>
      </c>
      <c r="F230" s="3" t="n">
        <f aca="false">F$8*F$10*(1-EXP(-2*$C230/SQRT(PI()*F$9*F$10)))</f>
        <v>0.000476907896980206</v>
      </c>
      <c r="G230" s="3" t="n">
        <f aca="false">G$8*G$10*(1-EXP(-2*$C230/SQRT(PI()*G$9*G$10)))</f>
        <v>0.000252690268698959</v>
      </c>
      <c r="H230" s="3" t="n">
        <f aca="false">H$8*H$10*(1-EXP(-2*$C230/SQRT(PI()*H$9*H$10)))</f>
        <v>5.21246949910025E-005</v>
      </c>
    </row>
    <row r="231" customFormat="false" ht="15.75" hidden="false" customHeight="false" outlineLevel="0" collapsed="false">
      <c r="C231" s="0" t="n">
        <v>21.9</v>
      </c>
      <c r="D231" s="3" t="n">
        <f aca="false">D$8*D$10*(1-EXP(-2*$C231/SQRT(PI()*D$9*D$10)))</f>
        <v>0.000521254600119821</v>
      </c>
      <c r="E231" s="3" t="n">
        <f aca="false">E$8*E$10*(1-EXP(-2*$C231/SQRT(PI()*E$9*E$10)))</f>
        <v>0.000505635174278271</v>
      </c>
      <c r="F231" s="3" t="n">
        <f aca="false">F$8*F$10*(1-EXP(-2*$C231/SQRT(PI()*F$9*F$10)))</f>
        <v>0.000477407846277003</v>
      </c>
      <c r="G231" s="3" t="n">
        <f aca="false">G$8*G$10*(1-EXP(-2*$C231/SQRT(PI()*G$9*G$10)))</f>
        <v>0.000252817587139136</v>
      </c>
      <c r="H231" s="3" t="n">
        <f aca="false">H$8*H$10*(1-EXP(-2*$C231/SQRT(PI()*H$9*H$10)))</f>
        <v>5.21254600119821E-005</v>
      </c>
    </row>
    <row r="232" customFormat="false" ht="15.75" hidden="false" customHeight="false" outlineLevel="0" collapsed="false">
      <c r="C232" s="0" t="n">
        <v>22</v>
      </c>
      <c r="D232" s="3" t="n">
        <f aca="false">D$8*D$10*(1-EXP(-2*$C232/SQRT(PI()*D$9*D$10)))</f>
        <v>0.000521261982164002</v>
      </c>
      <c r="E232" s="3" t="n">
        <f aca="false">E$8*E$10*(1-EXP(-2*$C232/SQRT(PI()*E$9*E$10)))</f>
        <v>0.00050588577999152</v>
      </c>
      <c r="F232" s="3" t="n">
        <f aca="false">F$8*F$10*(1-EXP(-2*$C232/SQRT(PI()*F$9*F$10)))</f>
        <v>0.000477902185958475</v>
      </c>
      <c r="G232" s="3" t="n">
        <f aca="false">G$8*G$10*(1-EXP(-2*$C232/SQRT(PI()*G$9*G$10)))</f>
        <v>0.00025294288999576</v>
      </c>
      <c r="H232" s="3" t="n">
        <f aca="false">H$8*H$10*(1-EXP(-2*$C232/SQRT(PI()*H$9*H$10)))</f>
        <v>5.21261982164002E-005</v>
      </c>
    </row>
    <row r="233" customFormat="false" ht="15.75" hidden="false" customHeight="false" outlineLevel="0" collapsed="false">
      <c r="C233" s="0" t="n">
        <v>22.1</v>
      </c>
      <c r="D233" s="3" t="n">
        <f aca="false">D$8*D$10*(1-EXP(-2*$C233/SQRT(PI()*D$9*D$10)))</f>
        <v>0.000521269105442675</v>
      </c>
      <c r="E233" s="3" t="n">
        <f aca="false">E$8*E$10*(1-EXP(-2*$C233/SQRT(PI()*E$9*E$10)))</f>
        <v>0.000506132418355239</v>
      </c>
      <c r="F233" s="3" t="n">
        <f aca="false">F$8*F$10*(1-EXP(-2*$C233/SQRT(PI()*F$9*F$10)))</f>
        <v>0.000478390978966571</v>
      </c>
      <c r="G233" s="3" t="n">
        <f aca="false">G$8*G$10*(1-EXP(-2*$C233/SQRT(PI()*G$9*G$10)))</f>
        <v>0.000253066209177619</v>
      </c>
      <c r="H233" s="3" t="n">
        <f aca="false">H$8*H$10*(1-EXP(-2*$C233/SQRT(PI()*H$9*H$10)))</f>
        <v>5.21269105442675E-005</v>
      </c>
    </row>
    <row r="234" customFormat="false" ht="15.75" hidden="false" customHeight="false" outlineLevel="0" collapsed="false">
      <c r="C234" s="0" t="n">
        <v>22.2</v>
      </c>
      <c r="D234" s="3" t="n">
        <f aca="false">D$8*D$10*(1-EXP(-2*$C234/SQRT(PI()*D$9*D$10)))</f>
        <v>0.000521275979026442</v>
      </c>
      <c r="E234" s="3" t="n">
        <f aca="false">E$8*E$10*(1-EXP(-2*$C234/SQRT(PI()*E$9*E$10)))</f>
        <v>0.000506375152176704</v>
      </c>
      <c r="F234" s="3" t="n">
        <f aca="false">F$8*F$10*(1-EXP(-2*$C234/SQRT(PI()*F$9*F$10)))</f>
        <v>0.000478874287537011</v>
      </c>
      <c r="G234" s="3" t="n">
        <f aca="false">G$8*G$10*(1-EXP(-2*$C234/SQRT(PI()*G$9*G$10)))</f>
        <v>0.000253187576088352</v>
      </c>
      <c r="H234" s="3" t="n">
        <f aca="false">H$8*H$10*(1-EXP(-2*$C234/SQRT(PI()*H$9*H$10)))</f>
        <v>5.21275979026442E-005</v>
      </c>
    </row>
    <row r="235" customFormat="false" ht="15.75" hidden="false" customHeight="false" outlineLevel="0" collapsed="false">
      <c r="C235" s="0" t="n">
        <v>22.3</v>
      </c>
      <c r="D235" s="3" t="n">
        <f aca="false">D$8*D$10*(1-EXP(-2*$C235/SQRT(PI()*D$9*D$10)))</f>
        <v>0.000521282611667951</v>
      </c>
      <c r="E235" s="3" t="n">
        <f aca="false">E$8*E$10*(1-EXP(-2*$C235/SQRT(PI()*E$9*E$10)))</f>
        <v>0.000506614043268886</v>
      </c>
      <c r="F235" s="3" t="n">
        <f aca="false">F$8*F$10*(1-EXP(-2*$C235/SQRT(PI()*F$9*F$10)))</f>
        <v>0.000479352173207206</v>
      </c>
      <c r="G235" s="3" t="n">
        <f aca="false">G$8*G$10*(1-EXP(-2*$C235/SQRT(PI()*G$9*G$10)))</f>
        <v>0.000253307021634443</v>
      </c>
      <c r="H235" s="3" t="n">
        <f aca="false">H$8*H$10*(1-EXP(-2*$C235/SQRT(PI()*H$9*H$10)))</f>
        <v>5.21282611667951E-005</v>
      </c>
    </row>
    <row r="236" customFormat="false" ht="15.75" hidden="false" customHeight="false" outlineLevel="0" collapsed="false">
      <c r="C236" s="0" t="n">
        <v>22.4</v>
      </c>
      <c r="D236" s="3" t="n">
        <f aca="false">D$8*D$10*(1-EXP(-2*$C236/SQRT(PI()*D$9*D$10)))</f>
        <v>0.00052128901181304</v>
      </c>
      <c r="E236" s="3" t="n">
        <f aca="false">E$8*E$10*(1-EXP(-2*$C236/SQRT(PI()*E$9*E$10)))</f>
        <v>0.000506849152466195</v>
      </c>
      <c r="F236" s="3" t="n">
        <f aca="false">F$8*F$10*(1-EXP(-2*$C236/SQRT(PI()*F$9*F$10)))</f>
        <v>0.000479824696824096</v>
      </c>
      <c r="G236" s="3" t="n">
        <f aca="false">G$8*G$10*(1-EXP(-2*$C236/SQRT(PI()*G$9*G$10)))</f>
        <v>0.000253424576233098</v>
      </c>
      <c r="H236" s="3" t="n">
        <f aca="false">H$8*H$10*(1-EXP(-2*$C236/SQRT(PI()*H$9*H$10)))</f>
        <v>5.2128901181304E-005</v>
      </c>
    </row>
    <row r="237" customFormat="false" ht="15.75" hidden="false" customHeight="false" outlineLevel="0" collapsed="false">
      <c r="C237" s="0" t="n">
        <v>22.5</v>
      </c>
      <c r="D237" s="3" t="n">
        <f aca="false">D$8*D$10*(1-EXP(-2*$C237/SQRT(PI()*D$9*D$10)))</f>
        <v>0.00052129518761149</v>
      </c>
      <c r="E237" s="3" t="n">
        <f aca="false">E$8*E$10*(1-EXP(-2*$C237/SQRT(PI()*E$9*E$10)))</f>
        <v>0.000507080539639966</v>
      </c>
      <c r="F237" s="3" t="n">
        <f aca="false">F$8*F$10*(1-EXP(-2*$C237/SQRT(PI()*F$9*F$10)))</f>
        <v>0.000480291918551894</v>
      </c>
      <c r="G237" s="3" t="n">
        <f aca="false">G$8*G$10*(1-EXP(-2*$C237/SQRT(PI()*G$9*G$10)))</f>
        <v>0.000253540269819983</v>
      </c>
      <c r="H237" s="3" t="n">
        <f aca="false">H$8*H$10*(1-EXP(-2*$C237/SQRT(PI()*H$9*H$10)))</f>
        <v>5.2129518761149E-005</v>
      </c>
    </row>
    <row r="238" customFormat="false" ht="15.75" hidden="false" customHeight="false" outlineLevel="0" collapsed="false">
      <c r="C238" s="0" t="n">
        <v>22.6</v>
      </c>
      <c r="D238" s="3" t="n">
        <f aca="false">D$8*D$10*(1-EXP(-2*$C238/SQRT(PI()*D$9*D$10)))</f>
        <v>0.000521301146927408</v>
      </c>
      <c r="E238" s="3" t="n">
        <f aca="false">E$8*E$10*(1-EXP(-2*$C238/SQRT(PI()*E$9*E$10)))</f>
        <v>0.000507308263713709</v>
      </c>
      <c r="F238" s="3" t="n">
        <f aca="false">F$8*F$10*(1-EXP(-2*$C238/SQRT(PI()*F$9*F$10)))</f>
        <v>0.000480753897879749</v>
      </c>
      <c r="G238" s="3" t="n">
        <f aca="false">G$8*G$10*(1-EXP(-2*$C238/SQRT(PI()*G$9*G$10)))</f>
        <v>0.000253654131856854</v>
      </c>
      <c r="H238" s="3" t="n">
        <f aca="false">H$8*H$10*(1-EXP(-2*$C238/SQRT(PI()*H$9*H$10)))</f>
        <v>5.21301146927408E-005</v>
      </c>
    </row>
    <row r="239" customFormat="false" ht="15.75" hidden="false" customHeight="false" outlineLevel="0" collapsed="false">
      <c r="C239" s="0" t="n">
        <v>22.7</v>
      </c>
      <c r="D239" s="3" t="n">
        <f aca="false">D$8*D$10*(1-EXP(-2*$C239/SQRT(PI()*D$9*D$10)))</f>
        <v>0.000521306897349234</v>
      </c>
      <c r="E239" s="3" t="n">
        <f aca="false">E$8*E$10*(1-EXP(-2*$C239/SQRT(PI()*E$9*E$10)))</f>
        <v>0.000507532382678113</v>
      </c>
      <c r="F239" s="3" t="n">
        <f aca="false">F$8*F$10*(1-EXP(-2*$C239/SQRT(PI()*F$9*F$10)))</f>
        <v>0.00048121069362932</v>
      </c>
      <c r="G239" s="3" t="n">
        <f aca="false">G$8*G$10*(1-EXP(-2*$C239/SQRT(PI()*G$9*G$10)))</f>
        <v>0.000253766191339057</v>
      </c>
      <c r="H239" s="3" t="n">
        <f aca="false">H$8*H$10*(1-EXP(-2*$C239/SQRT(PI()*H$9*H$10)))</f>
        <v>5.21306897349234E-005</v>
      </c>
    </row>
    <row r="240" customFormat="false" ht="15.75" hidden="false" customHeight="false" outlineLevel="0" collapsed="false">
      <c r="C240" s="0" t="n">
        <v>22.8</v>
      </c>
      <c r="D240" s="3" t="n">
        <f aca="false">D$8*D$10*(1-EXP(-2*$C240/SQRT(PI()*D$9*D$10)))</f>
        <v>0.000521312446199411</v>
      </c>
      <c r="E240" s="3" t="n">
        <f aca="false">E$8*E$10*(1-EXP(-2*$C240/SQRT(PI()*E$9*E$10)))</f>
        <v>0.000507752953605817</v>
      </c>
      <c r="F240" s="3" t="n">
        <f aca="false">F$8*F$10*(1-EXP(-2*$C240/SQRT(PI()*F$9*F$10)))</f>
        <v>0.000481662363962266</v>
      </c>
      <c r="G240" s="3" t="n">
        <f aca="false">G$8*G$10*(1-EXP(-2*$C240/SQRT(PI()*G$9*G$10)))</f>
        <v>0.000253876476802909</v>
      </c>
      <c r="H240" s="3" t="n">
        <f aca="false">H$8*H$10*(1-EXP(-2*$C240/SQRT(PI()*H$9*H$10)))</f>
        <v>5.21312446199411E-005</v>
      </c>
    </row>
    <row r="241" customFormat="false" ht="15.75" hidden="false" customHeight="false" outlineLevel="0" collapsed="false">
      <c r="C241" s="0" t="n">
        <v>22.9</v>
      </c>
      <c r="D241" s="3" t="n">
        <f aca="false">D$8*D$10*(1-EXP(-2*$C241/SQRT(PI()*D$9*D$10)))</f>
        <v>0.000521317800543702</v>
      </c>
      <c r="E241" s="3" t="n">
        <f aca="false">E$8*E$10*(1-EXP(-2*$C241/SQRT(PI()*E$9*E$10)))</f>
        <v>0.000507970032665937</v>
      </c>
      <c r="F241" s="3" t="n">
        <f aca="false">F$8*F$10*(1-EXP(-2*$C241/SQRT(PI()*F$9*F$10)))</f>
        <v>0.000482108966387649</v>
      </c>
      <c r="G241" s="3" t="n">
        <f aca="false">G$8*G$10*(1-EXP(-2*$C241/SQRT(PI()*G$9*G$10)))</f>
        <v>0.000253985016332968</v>
      </c>
      <c r="H241" s="3" t="n">
        <f aca="false">H$8*H$10*(1-EXP(-2*$C241/SQRT(PI()*H$9*H$10)))</f>
        <v>5.21317800543702E-005</v>
      </c>
    </row>
    <row r="242" customFormat="false" ht="15.75" hidden="false" customHeight="false" outlineLevel="0" collapsed="false">
      <c r="C242" s="0" t="n">
        <v>23</v>
      </c>
      <c r="D242" s="3" t="n">
        <f aca="false">D$8*D$10*(1-EXP(-2*$C242/SQRT(PI()*D$9*D$10)))</f>
        <v>0.000521322967200196</v>
      </c>
      <c r="E242" s="3" t="n">
        <f aca="false">E$8*E$10*(1-EXP(-2*$C242/SQRT(PI()*E$9*E$10)))</f>
        <v>0.000508183675138375</v>
      </c>
      <c r="F242" s="3" t="n">
        <f aca="false">F$8*F$10*(1-EXP(-2*$C242/SQRT(PI()*F$9*F$10)))</f>
        <v>0.000482550557769261</v>
      </c>
      <c r="G242" s="3" t="n">
        <f aca="false">G$8*G$10*(1-EXP(-2*$C242/SQRT(PI()*G$9*G$10)))</f>
        <v>0.000254091837569187</v>
      </c>
      <c r="H242" s="3" t="n">
        <f aca="false">H$8*H$10*(1-EXP(-2*$C242/SQRT(PI()*H$9*H$10)))</f>
        <v>5.21322967200196E-005</v>
      </c>
    </row>
    <row r="243" customFormat="false" ht="15.75" hidden="false" customHeight="false" outlineLevel="0" collapsed="false">
      <c r="C243" s="0" t="n">
        <v>23.1</v>
      </c>
      <c r="D243" s="3" t="n">
        <f aca="false">D$8*D$10*(1-EXP(-2*$C243/SQRT(PI()*D$9*D$10)))</f>
        <v>0.000521327952747981</v>
      </c>
      <c r="E243" s="3" t="n">
        <f aca="false">E$8*E$10*(1-EXP(-2*$C243/SQRT(PI()*E$9*E$10)))</f>
        <v>0.000508393935427894</v>
      </c>
      <c r="F243" s="3" t="n">
        <f aca="false">F$8*F$10*(1-EXP(-2*$C243/SQRT(PI()*F$9*F$10)))</f>
        <v>0.000482987194332858</v>
      </c>
      <c r="G243" s="3" t="n">
        <f aca="false">G$8*G$10*(1-EXP(-2*$C243/SQRT(PI()*G$9*G$10)))</f>
        <v>0.000254196967713947</v>
      </c>
      <c r="H243" s="3" t="n">
        <f aca="false">H$8*H$10*(1-EXP(-2*$C243/SQRT(PI()*H$9*H$10)))</f>
        <v>5.21327952747981E-005</v>
      </c>
    </row>
    <row r="244" customFormat="false" ht="15.75" hidden="false" customHeight="false" outlineLevel="0" collapsed="false">
      <c r="C244" s="0" t="n">
        <v>23.2</v>
      </c>
      <c r="D244" s="3" t="n">
        <f aca="false">D$8*D$10*(1-EXP(-2*$C244/SQRT(PI()*D$9*D$10)))</f>
        <v>0.000521332763535526</v>
      </c>
      <c r="E244" s="3" t="n">
        <f aca="false">E$8*E$10*(1-EXP(-2*$C244/SQRT(PI()*E$9*E$10)))</f>
        <v>0.000508600867077974</v>
      </c>
      <c r="F244" s="3" t="n">
        <f aca="false">F$8*F$10*(1-EXP(-2*$C244/SQRT(PI()*F$9*F$10)))</f>
        <v>0.000483418931673324</v>
      </c>
      <c r="G244" s="3" t="n">
        <f aca="false">G$8*G$10*(1-EXP(-2*$C244/SQRT(PI()*G$9*G$10)))</f>
        <v>0.000254300433538987</v>
      </c>
      <c r="H244" s="3" t="n">
        <f aca="false">H$8*H$10*(1-EXP(-2*$C244/SQRT(PI()*H$9*H$10)))</f>
        <v>5.21332763535526E-005</v>
      </c>
    </row>
    <row r="245" customFormat="false" ht="15.75" hidden="false" customHeight="false" outlineLevel="0" collapsed="false">
      <c r="C245" s="0" t="n">
        <v>23.3</v>
      </c>
      <c r="D245" s="3" t="n">
        <f aca="false">D$8*D$10*(1-EXP(-2*$C245/SQRT(PI()*D$9*D$10)))</f>
        <v>0.000521337405688768</v>
      </c>
      <c r="E245" s="3" t="n">
        <f aca="false">E$8*E$10*(1-EXP(-2*$C245/SQRT(PI()*E$9*E$10)))</f>
        <v>0.000508804522784445</v>
      </c>
      <c r="F245" s="3" t="n">
        <f aca="false">F$8*F$10*(1-EXP(-2*$C245/SQRT(PI()*F$9*F$10)))</f>
        <v>0.000483845824761749</v>
      </c>
      <c r="G245" s="3" t="n">
        <f aca="false">G$8*G$10*(1-EXP(-2*$C245/SQRT(PI()*G$9*G$10)))</f>
        <v>0.000254402261392222</v>
      </c>
      <c r="H245" s="3" t="n">
        <f aca="false">H$8*H$10*(1-EXP(-2*$C245/SQRT(PI()*H$9*H$10)))</f>
        <v>5.21337405688768E-005</v>
      </c>
    </row>
    <row r="246" customFormat="false" ht="15.75" hidden="false" customHeight="false" outlineLevel="0" collapsed="false">
      <c r="C246" s="0" t="n">
        <v>23.4</v>
      </c>
      <c r="D246" s="3" t="n">
        <f aca="false">D$8*D$10*(1-EXP(-2*$C246/SQRT(PI()*D$9*D$10)))</f>
        <v>0.000521341885118906</v>
      </c>
      <c r="E246" s="3" t="n">
        <f aca="false">E$8*E$10*(1-EXP(-2*$C246/SQRT(PI()*E$9*E$10)))</f>
        <v>0.000509004954408907</v>
      </c>
      <c r="F246" s="3" t="n">
        <f aca="false">F$8*F$10*(1-EXP(-2*$C246/SQRT(PI()*F$9*F$10)))</f>
        <v>0.000484267927952424</v>
      </c>
      <c r="G246" s="3" t="n">
        <f aca="false">G$8*G$10*(1-EXP(-2*$C246/SQRT(PI()*G$9*G$10)))</f>
        <v>0.000254502477204453</v>
      </c>
      <c r="H246" s="3" t="n">
        <f aca="false">H$8*H$10*(1-EXP(-2*$C246/SQRT(PI()*H$9*H$10)))</f>
        <v>5.21341885118906E-005</v>
      </c>
    </row>
    <row r="247" customFormat="false" ht="15.75" hidden="false" customHeight="false" outlineLevel="0" collapsed="false">
      <c r="C247" s="0" t="n">
        <v>23.5</v>
      </c>
      <c r="D247" s="3" t="n">
        <f aca="false">D$8*D$10*(1-EXP(-2*$C247/SQRT(PI()*D$9*D$10)))</f>
        <v>0.000521346207529933</v>
      </c>
      <c r="E247" s="3" t="n">
        <f aca="false">E$8*E$10*(1-EXP(-2*$C247/SQRT(PI()*E$9*E$10)))</f>
        <v>0.000509202212991937</v>
      </c>
      <c r="F247" s="3" t="n">
        <f aca="false">F$8*F$10*(1-EXP(-2*$C247/SQRT(PI()*F$9*F$10)))</f>
        <v>0.000484685294989768</v>
      </c>
      <c r="G247" s="3" t="n">
        <f aca="false">G$8*G$10*(1-EXP(-2*$C247/SQRT(PI()*G$9*G$10)))</f>
        <v>0.000254601106495969</v>
      </c>
      <c r="H247" s="3" t="n">
        <f aca="false">H$8*H$10*(1-EXP(-2*$C247/SQRT(PI()*H$9*H$10)))</f>
        <v>5.21346207529933E-005</v>
      </c>
    </row>
    <row r="248" customFormat="false" ht="15.75" hidden="false" customHeight="false" outlineLevel="0" collapsed="false">
      <c r="C248" s="0" t="n">
        <v>23.6</v>
      </c>
      <c r="D248" s="3" t="n">
        <f aca="false">D$8*D$10*(1-EXP(-2*$C248/SQRT(PI()*D$9*D$10)))</f>
        <v>0.000521350378425897</v>
      </c>
      <c r="E248" s="3" t="n">
        <f aca="false">E$8*E$10*(1-EXP(-2*$C248/SQRT(PI()*E$9*E$10)))</f>
        <v>0.000509396348766087</v>
      </c>
      <c r="F248" s="3" t="n">
        <f aca="false">F$8*F$10*(1-EXP(-2*$C248/SQRT(PI()*F$9*F$10)))</f>
        <v>0.000485097979015166</v>
      </c>
      <c r="G248" s="3" t="n">
        <f aca="false">G$8*G$10*(1-EXP(-2*$C248/SQRT(PI()*G$9*G$10)))</f>
        <v>0.000254698174383044</v>
      </c>
      <c r="H248" s="3" t="n">
        <f aca="false">H$8*H$10*(1-EXP(-2*$C248/SQRT(PI()*H$9*H$10)))</f>
        <v>5.21350378425897E-005</v>
      </c>
    </row>
    <row r="249" customFormat="false" ht="15.75" hidden="false" customHeight="false" outlineLevel="0" collapsed="false">
      <c r="C249" s="0" t="n">
        <v>23.7</v>
      </c>
      <c r="D249" s="3" t="n">
        <f aca="false">D$8*D$10*(1-EXP(-2*$C249/SQRT(PI()*D$9*D$10)))</f>
        <v>0.000521354403117912</v>
      </c>
      <c r="E249" s="3" t="n">
        <f aca="false">E$8*E$10*(1-EXP(-2*$C249/SQRT(PI()*E$9*E$10)))</f>
        <v>0.000509587411168676</v>
      </c>
      <c r="F249" s="3" t="n">
        <f aca="false">F$8*F$10*(1-EXP(-2*$C249/SQRT(PI()*F$9*F$10)))</f>
        <v>0.000485506032573737</v>
      </c>
      <c r="G249" s="3" t="n">
        <f aca="false">G$8*G$10*(1-EXP(-2*$C249/SQRT(PI()*G$9*G$10)))</f>
        <v>0.000254793705584338</v>
      </c>
      <c r="H249" s="3" t="n">
        <f aca="false">H$8*H$10*(1-EXP(-2*$C249/SQRT(PI()*H$9*H$10)))</f>
        <v>5.21354403117912E-005</v>
      </c>
    </row>
    <row r="250" customFormat="false" ht="15.75" hidden="false" customHeight="false" outlineLevel="0" collapsed="false">
      <c r="C250" s="0" t="n">
        <v>23.8</v>
      </c>
      <c r="D250" s="3" t="n">
        <f aca="false">D$8*D$10*(1-EXP(-2*$C250/SQRT(PI()*D$9*D$10)))</f>
        <v>0.000521358286730919</v>
      </c>
      <c r="E250" s="3" t="n">
        <f aca="false">E$8*E$10*(1-EXP(-2*$C250/SQRT(PI()*E$9*E$10)))</f>
        <v>0.000509775448854376</v>
      </c>
      <c r="F250" s="3" t="n">
        <f aca="false">F$8*F$10*(1-EXP(-2*$C250/SQRT(PI()*F$9*F$10)))</f>
        <v>0.000485909507621026</v>
      </c>
      <c r="G250" s="3" t="n">
        <f aca="false">G$8*G$10*(1-EXP(-2*$C250/SQRT(PI()*G$9*G$10)))</f>
        <v>0.000254887724427188</v>
      </c>
      <c r="H250" s="3" t="n">
        <f aca="false">H$8*H$10*(1-EXP(-2*$C250/SQRT(PI()*H$9*H$10)))</f>
        <v>5.21358286730919E-005</v>
      </c>
    </row>
    <row r="251" customFormat="false" ht="15.75" hidden="false" customHeight="false" outlineLevel="0" collapsed="false">
      <c r="C251" s="0" t="n">
        <v>23.9</v>
      </c>
      <c r="D251" s="3" t="n">
        <f aca="false">D$8*D$10*(1-EXP(-2*$C251/SQRT(PI()*D$9*D$10)))</f>
        <v>0.000521362034210212</v>
      </c>
      <c r="E251" s="3" t="n">
        <f aca="false">E$8*E$10*(1-EXP(-2*$C251/SQRT(PI()*E$9*E$10)))</f>
        <v>0.000509960509707607</v>
      </c>
      <c r="F251" s="3" t="n">
        <f aca="false">F$8*F$10*(1-EXP(-2*$C251/SQRT(PI()*F$9*F$10)))</f>
        <v>0.000486308455529617</v>
      </c>
      <c r="G251" s="3" t="n">
        <f aca="false">G$8*G$10*(1-EXP(-2*$C251/SQRT(PI()*G$9*G$10)))</f>
        <v>0.000254980254853804</v>
      </c>
      <c r="H251" s="3" t="n">
        <f aca="false">H$8*H$10*(1-EXP(-2*$C251/SQRT(PI()*H$9*H$10)))</f>
        <v>5.21362034210212E-005</v>
      </c>
    </row>
    <row r="252" customFormat="false" ht="15.75" hidden="false" customHeight="false" outlineLevel="0" collapsed="false">
      <c r="C252" s="0" t="n">
        <v>24</v>
      </c>
      <c r="D252" s="3" t="n">
        <f aca="false">D$8*D$10*(1-EXP(-2*$C252/SQRT(PI()*D$9*D$10)))</f>
        <v>0.000521365650327736</v>
      </c>
      <c r="E252" s="3" t="n">
        <f aca="false">E$8*E$10*(1-EXP(-2*$C252/SQRT(PI()*E$9*E$10)))</f>
        <v>0.000510142640854729</v>
      </c>
      <c r="F252" s="3" t="n">
        <f aca="false">F$8*F$10*(1-EXP(-2*$C252/SQRT(PI()*F$9*F$10)))</f>
        <v>0.000486702927095673</v>
      </c>
      <c r="G252" s="3" t="n">
        <f aca="false">G$8*G$10*(1-EXP(-2*$C252/SQRT(PI()*G$9*G$10)))</f>
        <v>0.000255071320427365</v>
      </c>
      <c r="H252" s="3" t="n">
        <f aca="false">H$8*H$10*(1-EXP(-2*$C252/SQRT(PI()*H$9*H$10)))</f>
        <v>5.21365650327735E-005</v>
      </c>
    </row>
    <row r="253" customFormat="false" ht="15.75" hidden="false" customHeight="false" outlineLevel="0" collapsed="false">
      <c r="C253" s="0" t="n">
        <v>24.1</v>
      </c>
      <c r="D253" s="3" t="n">
        <f aca="false">D$8*D$10*(1-EXP(-2*$C253/SQRT(PI()*D$9*D$10)))</f>
        <v>0.000521369139688163</v>
      </c>
      <c r="E253" s="3" t="n">
        <f aca="false">E$8*E$10*(1-EXP(-2*$C253/SQRT(PI()*E$9*E$10)))</f>
        <v>0.000510321888676042</v>
      </c>
      <c r="F253" s="3" t="n">
        <f aca="false">F$8*F$10*(1-EXP(-2*$C253/SQRT(PI()*F$9*F$10)))</f>
        <v>0.000487092972545407</v>
      </c>
      <c r="G253" s="3" t="n">
        <f aca="false">G$8*G$10*(1-EXP(-2*$C253/SQRT(PI()*G$9*G$10)))</f>
        <v>0.000255160944338021</v>
      </c>
      <c r="H253" s="3" t="n">
        <f aca="false">H$8*H$10*(1-EXP(-2*$C253/SQRT(PI()*H$9*H$10)))</f>
        <v>5.21369139688163E-005</v>
      </c>
    </row>
    <row r="254" customFormat="false" ht="15.75" hidden="false" customHeight="false" outlineLevel="0" collapsed="false">
      <c r="C254" s="0" t="n">
        <v>24.2</v>
      </c>
      <c r="D254" s="3" t="n">
        <f aca="false">D$8*D$10*(1-EXP(-2*$C254/SQRT(PI()*D$9*D$10)))</f>
        <v>0.000521372506734756</v>
      </c>
      <c r="E254" s="3" t="n">
        <f aca="false">E$8*E$10*(1-EXP(-2*$C254/SQRT(PI()*E$9*E$10)))</f>
        <v>0.000510498298817597</v>
      </c>
      <c r="F254" s="3" t="n">
        <f aca="false">F$8*F$10*(1-EXP(-2*$C254/SQRT(PI()*F$9*F$10)))</f>
        <v>0.000487478641541475</v>
      </c>
      <c r="G254" s="3" t="n">
        <f aca="false">G$8*G$10*(1-EXP(-2*$C254/SQRT(PI()*G$9*G$10)))</f>
        <v>0.000255249149408798</v>
      </c>
      <c r="H254" s="3" t="n">
        <f aca="false">H$8*H$10*(1-EXP(-2*$C254/SQRT(PI()*H$9*H$10)))</f>
        <v>5.21372506734756E-005</v>
      </c>
    </row>
    <row r="255" customFormat="false" ht="15.75" hidden="false" customHeight="false" outlineLevel="0" collapsed="false">
      <c r="C255" s="0" t="n">
        <v>24.3</v>
      </c>
      <c r="D255" s="3" t="n">
        <f aca="false">D$8*D$10*(1-EXP(-2*$C255/SQRT(PI()*D$9*D$10)))</f>
        <v>0.000521375755755028</v>
      </c>
      <c r="E255" s="3" t="n">
        <f aca="false">E$8*E$10*(1-EXP(-2*$C255/SQRT(PI()*E$9*E$10)))</f>
        <v>0.000510671916202821</v>
      </c>
      <c r="F255" s="3" t="n">
        <f aca="false">F$8*F$10*(1-EXP(-2*$C255/SQRT(PI()*F$9*F$10)))</f>
        <v>0.000487859983189301</v>
      </c>
      <c r="G255" s="3" t="n">
        <f aca="false">G$8*G$10*(1-EXP(-2*$C255/SQRT(PI()*G$9*G$10)))</f>
        <v>0.000255335958101411</v>
      </c>
      <c r="H255" s="3" t="n">
        <f aca="false">H$8*H$10*(1-EXP(-2*$C255/SQRT(PI()*H$9*H$10)))</f>
        <v>5.21375755755028E-005</v>
      </c>
    </row>
    <row r="256" customFormat="false" ht="15.75" hidden="false" customHeight="false" outlineLevel="0" collapsed="false">
      <c r="C256" s="0" t="n">
        <v>24.4</v>
      </c>
      <c r="D256" s="3" t="n">
        <f aca="false">D$8*D$10*(1-EXP(-2*$C256/SQRT(PI()*D$9*D$10)))</f>
        <v>0.000521378890886198</v>
      </c>
      <c r="E256" s="3" t="n">
        <f aca="false">E$8*E$10*(1-EXP(-2*$C256/SQRT(PI()*E$9*E$10)))</f>
        <v>0.000510842785043957</v>
      </c>
      <c r="F256" s="3" t="n">
        <f aca="false">F$8*F$10*(1-EXP(-2*$C256/SQRT(PI()*F$9*F$10)))</f>
        <v>0.000488237046043325</v>
      </c>
      <c r="G256" s="3" t="n">
        <f aca="false">G$8*G$10*(1-EXP(-2*$C256/SQRT(PI()*G$9*G$10)))</f>
        <v>0.000255421392521978</v>
      </c>
      <c r="H256" s="3" t="n">
        <f aca="false">H$8*H$10*(1-EXP(-2*$C256/SQRT(PI()*H$9*H$10)))</f>
        <v>5.21378890886198E-005</v>
      </c>
    </row>
    <row r="257" customFormat="false" ht="15.75" hidden="false" customHeight="false" outlineLevel="0" collapsed="false">
      <c r="C257" s="0" t="n">
        <v>24.5</v>
      </c>
      <c r="D257" s="3" t="n">
        <f aca="false">D$8*D$10*(1-EXP(-2*$C257/SQRT(PI()*D$9*D$10)))</f>
        <v>0.000521381916120463</v>
      </c>
      <c r="E257" s="3" t="n">
        <f aca="false">E$8*E$10*(1-EXP(-2*$C257/SQRT(PI()*E$9*E$10)))</f>
        <v>0.00051101094885332</v>
      </c>
      <c r="F257" s="3" t="n">
        <f aca="false">F$8*F$10*(1-EXP(-2*$C257/SQRT(PI()*F$9*F$10)))</f>
        <v>0.000488609878113191</v>
      </c>
      <c r="G257" s="3" t="n">
        <f aca="false">G$8*G$10*(1-EXP(-2*$C257/SQRT(PI()*G$9*G$10)))</f>
        <v>0.00025550547442666</v>
      </c>
      <c r="H257" s="3" t="n">
        <f aca="false">H$8*H$10*(1-EXP(-2*$C257/SQRT(PI()*H$9*H$10)))</f>
        <v>5.21381916120463E-005</v>
      </c>
    </row>
    <row r="258" customFormat="false" ht="15.75" hidden="false" customHeight="false" outlineLevel="0" collapsed="false">
      <c r="C258" s="0" t="n">
        <v>24.6</v>
      </c>
      <c r="D258" s="3" t="n">
        <f aca="false">D$8*D$10*(1-EXP(-2*$C258/SQRT(PI()*D$9*D$10)))</f>
        <v>0.000521384835310079</v>
      </c>
      <c r="E258" s="3" t="n">
        <f aca="false">E$8*E$10*(1-EXP(-2*$C258/SQRT(PI()*E$9*E$10)))</f>
        <v>0.000511176450454383</v>
      </c>
      <c r="F258" s="3" t="n">
        <f aca="false">F$8*F$10*(1-EXP(-2*$C258/SQRT(PI()*F$9*F$10)))</f>
        <v>0.000488978526869855</v>
      </c>
      <c r="G258" s="3" t="n">
        <f aca="false">G$8*G$10*(1-EXP(-2*$C258/SQRT(PI()*G$9*G$10)))</f>
        <v>0.000255588225227191</v>
      </c>
      <c r="H258" s="3" t="n">
        <f aca="false">H$8*H$10*(1-EXP(-2*$C258/SQRT(PI()*H$9*H$10)))</f>
        <v>5.21384835310079E-005</v>
      </c>
    </row>
    <row r="259" customFormat="false" ht="15.75" hidden="false" customHeight="false" outlineLevel="0" collapsed="false">
      <c r="C259" s="0" t="n">
        <v>24.7</v>
      </c>
      <c r="D259" s="3" t="n">
        <f aca="false">D$8*D$10*(1-EXP(-2*$C259/SQRT(PI()*D$9*D$10)))</f>
        <v>0.000521387652172269</v>
      </c>
      <c r="E259" s="3" t="n">
        <f aca="false">E$8*E$10*(1-EXP(-2*$C259/SQRT(PI()*E$9*E$10)))</f>
        <v>0.000511339331992675</v>
      </c>
      <c r="F259" s="3" t="n">
        <f aca="false">F$8*F$10*(1-EXP(-2*$C259/SQRT(PI()*F$9*F$10)))</f>
        <v>0.000489343039251635</v>
      </c>
      <c r="G259" s="3" t="n">
        <f aca="false">G$8*G$10*(1-EXP(-2*$C259/SQRT(PI()*G$9*G$10)))</f>
        <v>0.000255669665996338</v>
      </c>
      <c r="H259" s="3" t="n">
        <f aca="false">H$8*H$10*(1-EXP(-2*$C259/SQRT(PI()*H$9*H$10)))</f>
        <v>5.21387652172269E-005</v>
      </c>
    </row>
    <row r="260" customFormat="false" ht="15.75" hidden="false" customHeight="false" outlineLevel="0" collapsed="false">
      <c r="C260" s="0" t="n">
        <v>24.8</v>
      </c>
      <c r="D260" s="3" t="n">
        <f aca="false">D$8*D$10*(1-EXP(-2*$C260/SQRT(PI()*D$9*D$10)))</f>
        <v>0.000521390370293953</v>
      </c>
      <c r="E260" s="3" t="n">
        <f aca="false">E$8*E$10*(1-EXP(-2*$C260/SQRT(PI()*E$9*E$10)))</f>
        <v>0.000511499634946521</v>
      </c>
      <c r="F260" s="3" t="n">
        <f aca="false">F$8*F$10*(1-EXP(-2*$C260/SQRT(PI()*F$9*F$10)))</f>
        <v>0.000489703461670179</v>
      </c>
      <c r="G260" s="3" t="n">
        <f aca="false">G$8*G$10*(1-EXP(-2*$C260/SQRT(PI()*G$9*G$10)))</f>
        <v>0.000255749817473261</v>
      </c>
      <c r="H260" s="3" t="n">
        <f aca="false">H$8*H$10*(1-EXP(-2*$C260/SQRT(PI()*H$9*H$10)))</f>
        <v>5.21390370293953E-005</v>
      </c>
    </row>
    <row r="261" customFormat="false" ht="15.75" hidden="false" customHeight="false" outlineLevel="0" collapsed="false">
      <c r="C261" s="0" t="n">
        <v>24.9</v>
      </c>
      <c r="D261" s="3" t="n">
        <f aca="false">D$8*D$10*(1-EXP(-2*$C261/SQRT(PI()*D$9*D$10)))</f>
        <v>0.000521392993136319</v>
      </c>
      <c r="E261" s="3" t="n">
        <f aca="false">E$8*E$10*(1-EXP(-2*$C261/SQRT(PI()*E$9*E$10)))</f>
        <v>0.000511657400137599</v>
      </c>
      <c r="F261" s="3" t="n">
        <f aca="false">F$8*F$10*(1-EXP(-2*$C261/SQRT(PI()*F$9*F$10)))</f>
        <v>0.000490059840016382</v>
      </c>
      <c r="G261" s="3" t="n">
        <f aca="false">G$8*G$10*(1-EXP(-2*$C261/SQRT(PI()*G$9*G$10)))</f>
        <v>0.000255828700068799</v>
      </c>
      <c r="H261" s="3" t="n">
        <f aca="false">H$8*H$10*(1-EXP(-2*$C261/SQRT(PI()*H$9*H$10)))</f>
        <v>5.21392993136319E-005</v>
      </c>
    </row>
    <row r="262" customFormat="false" ht="15.75" hidden="false" customHeight="false" outlineLevel="0" collapsed="false">
      <c r="C262" s="0" t="n">
        <v>25</v>
      </c>
      <c r="D262" s="3" t="n">
        <f aca="false">D$8*D$10*(1-EXP(-2*$C262/SQRT(PI()*D$9*D$10)))</f>
        <v>0.000521395524039227</v>
      </c>
      <c r="E262" s="3" t="n">
        <f aca="false">E$8*E$10*(1-EXP(-2*$C262/SQRT(PI()*E$9*E$10)))</f>
        <v>0.000511812667741336</v>
      </c>
      <c r="F262" s="3" t="n">
        <f aca="false">F$8*F$10*(1-EXP(-2*$C262/SQRT(PI()*F$9*F$10)))</f>
        <v>0.000490412219666227</v>
      </c>
      <c r="G262" s="3" t="n">
        <f aca="false">G$8*G$10*(1-EXP(-2*$C262/SQRT(PI()*G$9*G$10)))</f>
        <v>0.000255906333870668</v>
      </c>
      <c r="H262" s="3" t="n">
        <f aca="false">H$8*H$10*(1-EXP(-2*$C262/SQRT(PI()*H$9*H$10)))</f>
        <v>5.21395524039227E-005</v>
      </c>
    </row>
    <row r="263" customFormat="false" ht="15.75" hidden="false" customHeight="false" outlineLevel="0" collapsed="false">
      <c r="C263" s="0" t="n">
        <v>25.1</v>
      </c>
      <c r="D263" s="3" t="n">
        <f aca="false">D$8*D$10*(1-EXP(-2*$C263/SQRT(PI()*D$9*D$10)))</f>
        <v>0.000521397966225465</v>
      </c>
      <c r="E263" s="3" t="n">
        <f aca="false">E$8*E$10*(1-EXP(-2*$C263/SQRT(PI()*E$9*E$10)))</f>
        <v>0.000511965477297144</v>
      </c>
      <c r="F263" s="3" t="n">
        <f aca="false">F$8*F$10*(1-EXP(-2*$C263/SQRT(PI()*F$9*F$10)))</f>
        <v>0.000490760645486559</v>
      </c>
      <c r="G263" s="3" t="n">
        <f aca="false">G$8*G$10*(1-EXP(-2*$C263/SQRT(PI()*G$9*G$10)))</f>
        <v>0.000255982738648572</v>
      </c>
      <c r="H263" s="3" t="n">
        <f aca="false">H$8*H$10*(1-EXP(-2*$C263/SQRT(PI()*H$9*H$10)))</f>
        <v>5.21397966225465E-005</v>
      </c>
    </row>
    <row r="264" customFormat="false" ht="15.75" hidden="false" customHeight="false" outlineLevel="0" collapsed="false">
      <c r="C264" s="0" t="n">
        <v>25.2</v>
      </c>
      <c r="D264" s="3" t="n">
        <f aca="false">D$8*D$10*(1-EXP(-2*$C264/SQRT(PI()*D$9*D$10)))</f>
        <v>0.000521400322804852</v>
      </c>
      <c r="E264" s="3" t="n">
        <f aca="false">E$8*E$10*(1-EXP(-2*$C264/SQRT(PI()*E$9*E$10)))</f>
        <v>0.000512115867718481</v>
      </c>
      <c r="F264" s="3" t="n">
        <f aca="false">F$8*F$10*(1-EXP(-2*$C264/SQRT(PI()*F$9*F$10)))</f>
        <v>0.000491105161840803</v>
      </c>
      <c r="G264" s="3" t="n">
        <f aca="false">G$8*G$10*(1-EXP(-2*$C264/SQRT(PI()*G$9*G$10)))</f>
        <v>0.00025605793385924</v>
      </c>
      <c r="H264" s="3" t="n">
        <f aca="false">H$8*H$10*(1-EXP(-2*$C264/SQRT(PI()*H$9*H$10)))</f>
        <v>5.21400322804852E-005</v>
      </c>
    </row>
    <row r="265" customFormat="false" ht="15.75" hidden="false" customHeight="false" outlineLevel="0" collapsed="false">
      <c r="C265" s="0" t="n">
        <v>25.3</v>
      </c>
      <c r="D265" s="3" t="n">
        <f aca="false">D$8*D$10*(1-EXP(-2*$C265/SQRT(PI()*D$9*D$10)))</f>
        <v>0.000521402596778195</v>
      </c>
      <c r="E265" s="3" t="n">
        <f aca="false">E$8*E$10*(1-EXP(-2*$C265/SQRT(PI()*E$9*E$10)))</f>
        <v>0.000512263877302766</v>
      </c>
      <c r="F265" s="3" t="n">
        <f aca="false">F$8*F$10*(1-EXP(-2*$C265/SQRT(PI()*F$9*F$10)))</f>
        <v>0.000491445812594609</v>
      </c>
      <c r="G265" s="3" t="n">
        <f aca="false">G$8*G$10*(1-EXP(-2*$C265/SQRT(PI()*G$9*G$10)))</f>
        <v>0.000256131938651383</v>
      </c>
      <c r="H265" s="3" t="n">
        <f aca="false">H$8*H$10*(1-EXP(-2*$C265/SQRT(PI()*H$9*H$10)))</f>
        <v>5.21402596778195E-005</v>
      </c>
    </row>
    <row r="266" customFormat="false" ht="15.75" hidden="false" customHeight="false" outlineLevel="0" collapsed="false">
      <c r="C266" s="0" t="n">
        <v>25.4</v>
      </c>
      <c r="D266" s="3" t="n">
        <f aca="false">D$8*D$10*(1-EXP(-2*$C266/SQRT(PI()*D$9*D$10)))</f>
        <v>0.000521404791041115</v>
      </c>
      <c r="E266" s="3" t="n">
        <f aca="false">E$8*E$10*(1-EXP(-2*$C266/SQRT(PI()*E$9*E$10)))</f>
        <v>0.000512409543741131</v>
      </c>
      <c r="F266" s="3" t="n">
        <f aca="false">F$8*F$10*(1-EXP(-2*$C266/SQRT(PI()*F$9*F$10)))</f>
        <v>0.000491782641121437</v>
      </c>
      <c r="G266" s="3" t="n">
        <f aca="false">G$8*G$10*(1-EXP(-2*$C266/SQRT(PI()*G$9*G$10)))</f>
        <v>0.000256204771870565</v>
      </c>
      <c r="H266" s="3" t="n">
        <f aca="false">H$8*H$10*(1-EXP(-2*$C266/SQRT(PI()*H$9*H$10)))</f>
        <v>5.21404791041115E-005</v>
      </c>
    </row>
    <row r="267" customFormat="false" ht="15.75" hidden="false" customHeight="false" outlineLevel="0" collapsed="false">
      <c r="C267" s="0" t="n">
        <v>25.5</v>
      </c>
      <c r="D267" s="3" t="n">
        <f aca="false">D$8*D$10*(1-EXP(-2*$C267/SQRT(PI()*D$9*D$10)))</f>
        <v>0.00052140690838773</v>
      </c>
      <c r="E267" s="3" t="n">
        <f aca="false">E$8*E$10*(1-EXP(-2*$C267/SQRT(PI()*E$9*E$10)))</f>
        <v>0.000512552904128016</v>
      </c>
      <c r="F267" s="3" t="n">
        <f aca="false">F$8*F$10*(1-EXP(-2*$C267/SQRT(PI()*F$9*F$10)))</f>
        <v>0.000492115690308084</v>
      </c>
      <c r="G267" s="3" t="n">
        <f aca="false">G$8*G$10*(1-EXP(-2*$C267/SQRT(PI()*G$9*G$10)))</f>
        <v>0.000256276452064008</v>
      </c>
      <c r="H267" s="3" t="n">
        <f aca="false">H$8*H$10*(1-EXP(-2*$C267/SQRT(PI()*H$9*H$10)))</f>
        <v>5.2140690838773E-005</v>
      </c>
    </row>
    <row r="268" customFormat="false" ht="15.75" hidden="false" customHeight="false" outlineLevel="0" collapsed="false">
      <c r="C268" s="0" t="n">
        <v>25.6</v>
      </c>
      <c r="D268" s="3" t="n">
        <f aca="false">D$8*D$10*(1-EXP(-2*$C268/SQRT(PI()*D$9*D$10)))</f>
        <v>0.000521408951514216</v>
      </c>
      <c r="E268" s="3" t="n">
        <f aca="false">E$8*E$10*(1-EXP(-2*$C268/SQRT(PI()*E$9*E$10)))</f>
        <v>0.000512693994970619</v>
      </c>
      <c r="F268" s="3" t="n">
        <f aca="false">F$8*F$10*(1-EXP(-2*$C268/SQRT(PI()*F$9*F$10)))</f>
        <v>0.000492445002560138</v>
      </c>
      <c r="G268" s="3" t="n">
        <f aca="false">G$8*G$10*(1-EXP(-2*$C268/SQRT(PI()*G$9*G$10)))</f>
        <v>0.000256346997485309</v>
      </c>
      <c r="H268" s="3" t="n">
        <f aca="false">H$8*H$10*(1-EXP(-2*$C268/SQRT(PI()*H$9*H$10)))</f>
        <v>5.21408951514216E-005</v>
      </c>
    </row>
    <row r="269" customFormat="false" ht="15.75" hidden="false" customHeight="false" outlineLevel="0" collapsed="false">
      <c r="C269" s="0" t="n">
        <v>25.7</v>
      </c>
      <c r="D269" s="3" t="n">
        <f aca="false">D$8*D$10*(1-EXP(-2*$C269/SQRT(PI()*D$9*D$10)))</f>
        <v>0.000521410923022239</v>
      </c>
      <c r="E269" s="3" t="n">
        <f aca="false">E$8*E$10*(1-EXP(-2*$C269/SQRT(PI()*E$9*E$10)))</f>
        <v>0.00051283285219819</v>
      </c>
      <c r="F269" s="3" t="n">
        <f aca="false">F$8*F$10*(1-EXP(-2*$C269/SQRT(PI()*F$9*F$10)))</f>
        <v>0.000492770619807383</v>
      </c>
      <c r="G269" s="3" t="n">
        <f aca="false">G$8*G$10*(1-EXP(-2*$C269/SQRT(PI()*G$9*G$10)))</f>
        <v>0.000256416426099095</v>
      </c>
      <c r="H269" s="3" t="n">
        <f aca="false">H$8*H$10*(1-EXP(-2*$C269/SQRT(PI()*H$9*H$10)))</f>
        <v>5.21410923022239E-005</v>
      </c>
    </row>
    <row r="270" customFormat="false" ht="15.75" hidden="false" customHeight="false" outlineLevel="0" collapsed="false">
      <c r="C270" s="0" t="n">
        <v>25.8</v>
      </c>
      <c r="D270" s="3" t="n">
        <f aca="false">D$8*D$10*(1-EXP(-2*$C270/SQRT(PI()*D$9*D$10)))</f>
        <v>0.000521412825422266</v>
      </c>
      <c r="E270" s="3" t="n">
        <f aca="false">E$8*E$10*(1-EXP(-2*$C270/SQRT(PI()*E$9*E$10)))</f>
        <v>0.000512969511171183</v>
      </c>
      <c r="F270" s="3" t="n">
        <f aca="false">F$8*F$10*(1-EXP(-2*$C270/SQRT(PI()*F$9*F$10)))</f>
        <v>0.000493092583509133</v>
      </c>
      <c r="G270" s="3" t="n">
        <f aca="false">G$8*G$10*(1-EXP(-2*$C270/SQRT(PI()*G$9*G$10)))</f>
        <v>0.000256484755585592</v>
      </c>
      <c r="H270" s="3" t="n">
        <f aca="false">H$8*H$10*(1-EXP(-2*$C270/SQRT(PI()*H$9*H$10)))</f>
        <v>5.21412825422266E-005</v>
      </c>
    </row>
    <row r="271" customFormat="false" ht="15.75" hidden="false" customHeight="false" outlineLevel="0" collapsed="false">
      <c r="C271" s="0" t="n">
        <v>25.9</v>
      </c>
      <c r="D271" s="3" t="n">
        <f aca="false">D$8*D$10*(1-EXP(-2*$C271/SQRT(PI()*D$9*D$10)))</f>
        <v>0.000521414661136765</v>
      </c>
      <c r="E271" s="3" t="n">
        <f aca="false">E$8*E$10*(1-EXP(-2*$C271/SQRT(PI()*E$9*E$10)))</f>
        <v>0.000513104006690258</v>
      </c>
      <c r="F271" s="3" t="n">
        <f aca="false">F$8*F$10*(1-EXP(-2*$C271/SQRT(PI()*F$9*F$10)))</f>
        <v>0.000493410934659516</v>
      </c>
      <c r="G271" s="3" t="n">
        <f aca="false">G$8*G$10*(1-EXP(-2*$C271/SQRT(PI()*G$9*G$10)))</f>
        <v>0.000256552003345129</v>
      </c>
      <c r="H271" s="3" t="n">
        <f aca="false">H$8*H$10*(1-EXP(-2*$C271/SQRT(PI()*H$9*H$10)))</f>
        <v>5.21414661136766E-005</v>
      </c>
    </row>
    <row r="272" customFormat="false" ht="15.75" hidden="false" customHeight="false" outlineLevel="0" collapsed="false">
      <c r="C272" s="0" t="n">
        <v>26</v>
      </c>
      <c r="D272" s="3" t="n">
        <f aca="false">D$8*D$10*(1-EXP(-2*$C272/SQRT(PI()*D$9*D$10)))</f>
        <v>0.00052141643250329</v>
      </c>
      <c r="E272" s="3" t="n">
        <f aca="false">E$8*E$10*(1-EXP(-2*$C272/SQRT(PI()*E$9*E$10)))</f>
        <v>0.000513236373005143</v>
      </c>
      <c r="F272" s="3" t="n">
        <f aca="false">F$8*F$10*(1-EXP(-2*$C272/SQRT(PI()*F$9*F$10)))</f>
        <v>0.00049372571379269</v>
      </c>
      <c r="G272" s="3" t="n">
        <f aca="false">G$8*G$10*(1-EXP(-2*$C272/SQRT(PI()*G$9*G$10)))</f>
        <v>0.000256618186502572</v>
      </c>
      <c r="H272" s="3" t="n">
        <f aca="false">H$8*H$10*(1-EXP(-2*$C272/SQRT(PI()*H$9*H$10)))</f>
        <v>5.2141643250329E-005</v>
      </c>
    </row>
    <row r="273" customFormat="false" ht="15.75" hidden="false" customHeight="false" outlineLevel="0" collapsed="false">
      <c r="C273" s="0" t="n">
        <v>26.1</v>
      </c>
      <c r="D273" s="3" t="n">
        <f aca="false">D$8*D$10*(1-EXP(-2*$C273/SQRT(PI()*D$9*D$10)))</f>
        <v>0.000521418141777453</v>
      </c>
      <c r="E273" s="3" t="n">
        <f aca="false">E$8*E$10*(1-EXP(-2*$C273/SQRT(PI()*E$9*E$10)))</f>
        <v>0.00051336664382336</v>
      </c>
      <c r="F273" s="3" t="n">
        <f aca="false">F$8*F$10*(1-EXP(-2*$C273/SQRT(PI()*F$9*F$10)))</f>
        <v>0.000494036960988002</v>
      </c>
      <c r="G273" s="3" t="n">
        <f aca="false">G$8*G$10*(1-EXP(-2*$C273/SQRT(PI()*G$9*G$10)))</f>
        <v>0.00025668332191168</v>
      </c>
      <c r="H273" s="3" t="n">
        <f aca="false">H$8*H$10*(1-EXP(-2*$C273/SQRT(PI()*H$9*H$10)))</f>
        <v>5.21418141777453E-005</v>
      </c>
    </row>
    <row r="274" customFormat="false" ht="15.75" hidden="false" customHeight="false" outlineLevel="0" collapsed="false">
      <c r="C274" s="0" t="n">
        <v>26.2</v>
      </c>
      <c r="D274" s="3" t="n">
        <f aca="false">D$8*D$10*(1-EXP(-2*$C274/SQRT(PI()*D$9*D$10)))</f>
        <v>0.0005214197911358</v>
      </c>
      <c r="E274" s="3" t="n">
        <f aca="false">E$8*E$10*(1-EXP(-2*$C274/SQRT(PI()*E$9*E$10)))</f>
        <v>0.000513494852318805</v>
      </c>
      <c r="F274" s="3" t="n">
        <f aca="false">F$8*F$10*(1-EXP(-2*$C274/SQRT(PI()*F$9*F$10)))</f>
        <v>0.000494344715875099</v>
      </c>
      <c r="G274" s="3" t="n">
        <f aca="false">G$8*G$10*(1-EXP(-2*$C274/SQRT(PI()*G$9*G$10)))</f>
        <v>0.000256747426159402</v>
      </c>
      <c r="H274" s="3" t="n">
        <f aca="false">H$8*H$10*(1-EXP(-2*$C274/SQRT(PI()*H$9*H$10)))</f>
        <v>5.214197911358E-005</v>
      </c>
    </row>
    <row r="275" customFormat="false" ht="15.75" hidden="false" customHeight="false" outlineLevel="0" collapsed="false">
      <c r="C275" s="0" t="n">
        <v>26.3</v>
      </c>
      <c r="D275" s="3" t="n">
        <f aca="false">D$8*D$10*(1-EXP(-2*$C275/SQRT(PI()*D$9*D$10)))</f>
        <v>0.000521421382678583</v>
      </c>
      <c r="E275" s="3" t="n">
        <f aca="false">E$8*E$10*(1-EXP(-2*$C275/SQRT(PI()*E$9*E$10)))</f>
        <v>0.000513621031140194</v>
      </c>
      <c r="F275" s="3" t="n">
        <f aca="false">F$8*F$10*(1-EXP(-2*$C275/SQRT(PI()*F$9*F$10)))</f>
        <v>0.000494649017638963</v>
      </c>
      <c r="G275" s="3" t="n">
        <f aca="false">G$8*G$10*(1-EXP(-2*$C275/SQRT(PI()*G$9*G$10)))</f>
        <v>0.000256810515570097</v>
      </c>
      <c r="H275" s="3" t="n">
        <f aca="false">H$8*H$10*(1-EXP(-2*$C275/SQRT(PI()*H$9*H$10)))</f>
        <v>5.21421382678584E-005</v>
      </c>
    </row>
    <row r="276" customFormat="false" ht="15.75" hidden="false" customHeight="false" outlineLevel="0" collapsed="false">
      <c r="C276" s="0" t="n">
        <v>26.4</v>
      </c>
      <c r="D276" s="3" t="n">
        <f aca="false">D$8*D$10*(1-EXP(-2*$C276/SQRT(PI()*D$9*D$10)))</f>
        <v>0.000521422918432432</v>
      </c>
      <c r="E276" s="3" t="n">
        <f aca="false">E$8*E$10*(1-EXP(-2*$C276/SQRT(PI()*E$9*E$10)))</f>
        <v>0.000513745212419384</v>
      </c>
      <c r="F276" s="3" t="n">
        <f aca="false">F$8*F$10*(1-EXP(-2*$C276/SQRT(PI()*F$9*F$10)))</f>
        <v>0.000494949905024912</v>
      </c>
      <c r="G276" s="3" t="n">
        <f aca="false">G$8*G$10*(1-EXP(-2*$C276/SQRT(PI()*G$9*G$10)))</f>
        <v>0.000256872606209692</v>
      </c>
      <c r="H276" s="3" t="n">
        <f aca="false">H$8*H$10*(1-EXP(-2*$C276/SQRT(PI()*H$9*H$10)))</f>
        <v>5.21422918432432E-005</v>
      </c>
    </row>
    <row r="277" customFormat="false" ht="15.75" hidden="false" customHeight="false" outlineLevel="0" collapsed="false">
      <c r="C277" s="0" t="n">
        <v>26.5</v>
      </c>
      <c r="D277" s="3" t="n">
        <f aca="false">D$8*D$10*(1-EXP(-2*$C277/SQRT(PI()*D$9*D$10)))</f>
        <v>0.000521424400352937</v>
      </c>
      <c r="E277" s="3" t="n">
        <f aca="false">E$8*E$10*(1-EXP(-2*$C277/SQRT(PI()*E$9*E$10)))</f>
        <v>0.000513867427779547</v>
      </c>
      <c r="F277" s="3" t="n">
        <f aca="false">F$8*F$10*(1-EXP(-2*$C277/SQRT(PI()*F$9*F$10)))</f>
        <v>0.000495247416343522</v>
      </c>
      <c r="G277" s="3" t="n">
        <f aca="false">G$8*G$10*(1-EXP(-2*$C277/SQRT(PI()*G$9*G$10)))</f>
        <v>0.000256933713889774</v>
      </c>
      <c r="H277" s="3" t="n">
        <f aca="false">H$8*H$10*(1-EXP(-2*$C277/SQRT(PI()*H$9*H$10)))</f>
        <v>5.21424400352937E-005</v>
      </c>
    </row>
    <row r="278" customFormat="false" ht="15.75" hidden="false" customHeight="false" outlineLevel="0" collapsed="false">
      <c r="C278" s="0" t="n">
        <v>26.6</v>
      </c>
      <c r="D278" s="3" t="n">
        <f aca="false">D$8*D$10*(1-EXP(-2*$C278/SQRT(PI()*D$9*D$10)))</f>
        <v>0.000521425830327138</v>
      </c>
      <c r="E278" s="3" t="n">
        <f aca="false">E$8*E$10*(1-EXP(-2*$C278/SQRT(PI()*E$9*E$10)))</f>
        <v>0.000513987708343232</v>
      </c>
      <c r="F278" s="3" t="n">
        <f aca="false">F$8*F$10*(1-EXP(-2*$C278/SQRT(PI()*F$9*F$10)))</f>
        <v>0.000495541589475514</v>
      </c>
      <c r="G278" s="3" t="n">
        <f aca="false">G$8*G$10*(1-EXP(-2*$C278/SQRT(PI()*G$9*G$10)))</f>
        <v>0.000256993854171616</v>
      </c>
      <c r="H278" s="3" t="n">
        <f aca="false">H$8*H$10*(1-EXP(-2*$C278/SQRT(PI()*H$9*H$10)))</f>
        <v>5.21425830327138E-005</v>
      </c>
    </row>
    <row r="279" customFormat="false" ht="15.75" hidden="false" customHeight="false" outlineLevel="0" collapsed="false">
      <c r="C279" s="0" t="n">
        <v>26.7</v>
      </c>
      <c r="D279" s="3" t="n">
        <f aca="false">D$8*D$10*(1-EXP(-2*$C279/SQRT(PI()*D$9*D$10)))</f>
        <v>0.000521427210175927</v>
      </c>
      <c r="E279" s="3" t="n">
        <f aca="false">E$8*E$10*(1-EXP(-2*$C279/SQRT(PI()*E$9*E$10)))</f>
        <v>0.000514106084740281</v>
      </c>
      <c r="F279" s="3" t="n">
        <f aca="false">F$8*F$10*(1-EXP(-2*$C279/SQRT(PI()*F$9*F$10)))</f>
        <v>0.000495832461876571</v>
      </c>
      <c r="G279" s="3" t="n">
        <f aca="false">G$8*G$10*(1-EXP(-2*$C279/SQRT(PI()*G$9*G$10)))</f>
        <v>0.00025705304237014</v>
      </c>
      <c r="H279" s="3" t="n">
        <f aca="false">H$8*H$10*(1-EXP(-2*$C279/SQRT(PI()*H$9*H$10)))</f>
        <v>5.21427210175927E-005</v>
      </c>
    </row>
    <row r="280" customFormat="false" ht="15.75" hidden="false" customHeight="false" outlineLevel="0" collapsed="false">
      <c r="C280" s="0" t="n">
        <v>26.8</v>
      </c>
      <c r="D280" s="3" t="n">
        <f aca="false">D$8*D$10*(1-EXP(-2*$C280/SQRT(PI()*D$9*D$10)))</f>
        <v>0.00052142854165637</v>
      </c>
      <c r="E280" s="3" t="n">
        <f aca="false">E$8*E$10*(1-EXP(-2*$C280/SQRT(PI()*E$9*E$10)))</f>
        <v>0.000514222587115635</v>
      </c>
      <c r="F280" s="3" t="n">
        <f aca="false">F$8*F$10*(1-EXP(-2*$C280/SQRT(PI()*F$9*F$10)))</f>
        <v>0.00049612007058211</v>
      </c>
      <c r="G280" s="3" t="n">
        <f aca="false">G$8*G$10*(1-EXP(-2*$C280/SQRT(PI()*G$9*G$10)))</f>
        <v>0.000257111293557818</v>
      </c>
      <c r="H280" s="3" t="n">
        <f aca="false">H$8*H$10*(1-EXP(-2*$C280/SQRT(PI()*H$9*H$10)))</f>
        <v>5.2142854165637E-005</v>
      </c>
    </row>
    <row r="281" customFormat="false" ht="15.75" hidden="false" customHeight="false" outlineLevel="0" collapsed="false">
      <c r="C281" s="0" t="n">
        <v>26.9</v>
      </c>
      <c r="D281" s="3" t="n">
        <f aca="false">D$8*D$10*(1-EXP(-2*$C281/SQRT(PI()*D$9*D$10)))</f>
        <v>0.00052142982646394</v>
      </c>
      <c r="E281" s="3" t="n">
        <f aca="false">E$8*E$10*(1-EXP(-2*$C281/SQRT(PI()*E$9*E$10)))</f>
        <v>0.000514337245137012</v>
      </c>
      <c r="F281" s="3" t="n">
        <f aca="false">F$8*F$10*(1-EXP(-2*$C281/SQRT(PI()*F$9*F$10)))</f>
        <v>0.000496404452211999</v>
      </c>
      <c r="G281" s="3" t="n">
        <f aca="false">G$8*G$10*(1-EXP(-2*$C281/SQRT(PI()*G$9*G$10)))</f>
        <v>0.000257168622568506</v>
      </c>
      <c r="H281" s="3" t="n">
        <f aca="false">H$8*H$10*(1-EXP(-2*$C281/SQRT(PI()*H$9*H$10)))</f>
        <v>5.21429826463939E-005</v>
      </c>
    </row>
    <row r="282" customFormat="false" ht="15.75" hidden="false" customHeight="false" outlineLevel="0" collapsed="false">
      <c r="C282" s="0" t="n">
        <v>27</v>
      </c>
      <c r="D282" s="3" t="n">
        <f aca="false">D$8*D$10*(1-EXP(-2*$C282/SQRT(PI()*D$9*D$10)))</f>
        <v>0.000521431066234677</v>
      </c>
      <c r="E282" s="3" t="n">
        <f aca="false">E$8*E$10*(1-EXP(-2*$C282/SQRT(PI()*E$9*E$10)))</f>
        <v>0.000514450088002457</v>
      </c>
      <c r="F282" s="3" t="n">
        <f aca="false">F$8*F$10*(1-EXP(-2*$C282/SQRT(PI()*F$9*F$10)))</f>
        <v>0.000496685642975214</v>
      </c>
      <c r="G282" s="3" t="n">
        <f aca="false">G$8*G$10*(1-EXP(-2*$C282/SQRT(PI()*G$9*G$10)))</f>
        <v>0.000257225044001228</v>
      </c>
      <c r="H282" s="3" t="n">
        <f aca="false">H$8*H$10*(1-EXP(-2*$C282/SQRT(PI()*H$9*H$10)))</f>
        <v>5.21431066234677E-005</v>
      </c>
    </row>
    <row r="283" customFormat="false" ht="15.75" hidden="false" customHeight="false" outlineLevel="0" collapsed="false">
      <c r="C283" s="0" t="n">
        <v>27.1</v>
      </c>
      <c r="D283" s="3" t="n">
        <f aca="false">D$8*D$10*(1-EXP(-2*$C283/SQRT(PI()*D$9*D$10)))</f>
        <v>0.000521432262547275</v>
      </c>
      <c r="E283" s="3" t="n">
        <f aca="false">E$8*E$10*(1-EXP(-2*$C283/SQRT(PI()*E$9*E$10)))</f>
        <v>0.000514561144447777</v>
      </c>
      <c r="F283" s="3" t="n">
        <f aca="false">F$8*F$10*(1-EXP(-2*$C283/SQRT(PI()*F$9*F$10)))</f>
        <v>0.000496963678674456</v>
      </c>
      <c r="G283" s="3" t="n">
        <f aca="false">G$8*G$10*(1-EXP(-2*$C283/SQRT(PI()*G$9*G$10)))</f>
        <v>0.000257280572223888</v>
      </c>
      <c r="H283" s="3" t="n">
        <f aca="false">H$8*H$10*(1-EXP(-2*$C283/SQRT(PI()*H$9*H$10)))</f>
        <v>5.21432262547275E-005</v>
      </c>
    </row>
    <row r="284" customFormat="false" ht="15.75" hidden="false" customHeight="false" outlineLevel="0" collapsed="false">
      <c r="C284" s="0" t="n">
        <v>27.2</v>
      </c>
      <c r="D284" s="3" t="n">
        <f aca="false">D$8*D$10*(1-EXP(-2*$C284/SQRT(PI()*D$9*D$10)))</f>
        <v>0.000521433416925088</v>
      </c>
      <c r="E284" s="3" t="n">
        <f aca="false">E$8*E$10*(1-EXP(-2*$C284/SQRT(PI()*E$9*E$10)))</f>
        <v>0.000514670442753866</v>
      </c>
      <c r="F284" s="3" t="n">
        <f aca="false">F$8*F$10*(1-EXP(-2*$C284/SQRT(PI()*F$9*F$10)))</f>
        <v>0.000497238594710705</v>
      </c>
      <c r="G284" s="3" t="n">
        <f aca="false">G$8*G$10*(1-EXP(-2*$C284/SQRT(PI()*G$9*G$10)))</f>
        <v>0.000257335221376933</v>
      </c>
      <c r="H284" s="3" t="n">
        <f aca="false">H$8*H$10*(1-EXP(-2*$C284/SQRT(PI()*H$9*H$10)))</f>
        <v>5.21433416925088E-005</v>
      </c>
    </row>
    <row r="285" customFormat="false" ht="15.75" hidden="false" customHeight="false" outlineLevel="0" collapsed="false">
      <c r="C285" s="0" t="n">
        <v>27.3</v>
      </c>
      <c r="D285" s="3" t="n">
        <f aca="false">D$8*D$10*(1-EXP(-2*$C285/SQRT(PI()*D$9*D$10)))</f>
        <v>0.000521434530838071</v>
      </c>
      <c r="E285" s="3" t="n">
        <f aca="false">E$8*E$10*(1-EXP(-2*$C285/SQRT(PI()*E$9*E$10)))</f>
        <v>0.000514778010753898</v>
      </c>
      <c r="F285" s="3" t="n">
        <f aca="false">F$8*F$10*(1-EXP(-2*$C285/SQRT(PI()*F$9*F$10)))</f>
        <v>0.000497510426087728</v>
      </c>
      <c r="G285" s="3" t="n">
        <f aca="false">G$8*G$10*(1-EXP(-2*$C285/SQRT(PI()*G$9*G$10)))</f>
        <v>0.000257389005376949</v>
      </c>
      <c r="H285" s="3" t="n">
        <f aca="false">H$8*H$10*(1-EXP(-2*$C285/SQRT(PI()*H$9*H$10)))</f>
        <v>5.21434530838071E-005</v>
      </c>
    </row>
    <row r="286" customFormat="false" ht="15.75" hidden="false" customHeight="false" outlineLevel="0" collapsed="false">
      <c r="C286" s="0" t="n">
        <v>27.4</v>
      </c>
      <c r="D286" s="3" t="n">
        <f aca="false">D$8*D$10*(1-EXP(-2*$C286/SQRT(PI()*D$9*D$10)))</f>
        <v>0.000521435605704653</v>
      </c>
      <c r="E286" s="3" t="n">
        <f aca="false">E$8*E$10*(1-EXP(-2*$C286/SQRT(PI()*E$9*E$10)))</f>
        <v>0.000514883875840423</v>
      </c>
      <c r="F286" s="3" t="n">
        <f aca="false">F$8*F$10*(1-EXP(-2*$C286/SQRT(PI()*F$9*F$10)))</f>
        <v>0.00049777920741654</v>
      </c>
      <c r="G286" s="3" t="n">
        <f aca="false">G$8*G$10*(1-EXP(-2*$C286/SQRT(PI()*G$9*G$10)))</f>
        <v>0.000257441937920211</v>
      </c>
      <c r="H286" s="3" t="n">
        <f aca="false">H$8*H$10*(1-EXP(-2*$C286/SQRT(PI()*H$9*H$10)))</f>
        <v>5.21435605704653E-005</v>
      </c>
    </row>
    <row r="287" customFormat="false" ht="15.75" hidden="false" customHeight="false" outlineLevel="0" collapsed="false">
      <c r="C287" s="0" t="n">
        <v>27.5</v>
      </c>
      <c r="D287" s="3" t="n">
        <f aca="false">D$8*D$10*(1-EXP(-2*$C287/SQRT(PI()*D$9*D$10)))</f>
        <v>0.000521436642893541</v>
      </c>
      <c r="E287" s="3" t="n">
        <f aca="false">E$8*E$10*(1-EXP(-2*$C287/SQRT(PI()*E$9*E$10)))</f>
        <v>0.000514988064972333</v>
      </c>
      <c r="F287" s="3" t="n">
        <f aca="false">F$8*F$10*(1-EXP(-2*$C287/SQRT(PI()*F$9*F$10)))</f>
        <v>0.000498044972919806</v>
      </c>
      <c r="G287" s="3" t="n">
        <f aca="false">G$8*G$10*(1-EXP(-2*$C287/SQRT(PI()*G$9*G$10)))</f>
        <v>0.000257494032486167</v>
      </c>
      <c r="H287" s="3" t="n">
        <f aca="false">H$8*H$10*(1-EXP(-2*$C287/SQRT(PI()*H$9*H$10)))</f>
        <v>5.21436642893541E-005</v>
      </c>
    </row>
    <row r="288" customFormat="false" ht="15.75" hidden="false" customHeight="false" outlineLevel="0" collapsed="false">
      <c r="C288" s="0" t="n">
        <v>27.6</v>
      </c>
      <c r="D288" s="3" t="n">
        <f aca="false">D$8*D$10*(1-EXP(-2*$C288/SQRT(PI()*D$9*D$10)))</f>
        <v>0.000521437643725467</v>
      </c>
      <c r="E288" s="3" t="n">
        <f aca="false">E$8*E$10*(1-EXP(-2*$C288/SQRT(PI()*E$9*E$10)))</f>
        <v>0.000515090604681738</v>
      </c>
      <c r="F288" s="3" t="n">
        <f aca="false">F$8*F$10*(1-EXP(-2*$C288/SQRT(PI()*F$9*F$10)))</f>
        <v>0.000498307756436198</v>
      </c>
      <c r="G288" s="3" t="n">
        <f aca="false">G$8*G$10*(1-EXP(-2*$C288/SQRT(PI()*G$9*G$10)))</f>
        <v>0.000257545302340869</v>
      </c>
      <c r="H288" s="3" t="n">
        <f aca="false">H$8*H$10*(1-EXP(-2*$C288/SQRT(PI()*H$9*H$10)))</f>
        <v>5.21437643725467E-005</v>
      </c>
    </row>
    <row r="289" customFormat="false" ht="15.75" hidden="false" customHeight="false" outlineLevel="0" collapsed="false">
      <c r="C289" s="0" t="n">
        <v>27.7</v>
      </c>
      <c r="D289" s="3" t="n">
        <f aca="false">D$8*D$10*(1-EXP(-2*$C289/SQRT(PI()*D$9*D$10)))</f>
        <v>0.000521438609474863</v>
      </c>
      <c r="E289" s="3" t="n">
        <f aca="false">E$8*E$10*(1-EXP(-2*$C289/SQRT(PI()*E$9*E$10)))</f>
        <v>0.000515191521080714</v>
      </c>
      <c r="F289" s="3" t="n">
        <f aca="false">F$8*F$10*(1-EXP(-2*$C289/SQRT(PI()*F$9*F$10)))</f>
        <v>0.000498567591424709</v>
      </c>
      <c r="G289" s="3" t="n">
        <f aca="false">G$8*G$10*(1-EXP(-2*$C289/SQRT(PI()*G$9*G$10)))</f>
        <v>0.000257595760540357</v>
      </c>
      <c r="H289" s="3" t="n">
        <f aca="false">H$8*H$10*(1-EXP(-2*$C289/SQRT(PI()*H$9*H$10)))</f>
        <v>5.21438609474863E-005</v>
      </c>
    </row>
    <row r="290" customFormat="false" ht="15.75" hidden="false" customHeight="false" outlineLevel="0" collapsed="false">
      <c r="C290" s="0" t="n">
        <v>27.8</v>
      </c>
      <c r="D290" s="3" t="n">
        <f aca="false">D$8*D$10*(1-EXP(-2*$C290/SQRT(PI()*D$9*D$10)))</f>
        <v>0.00052143954137149</v>
      </c>
      <c r="E290" s="3" t="n">
        <f aca="false">E$8*E$10*(1-EXP(-2*$C290/SQRT(PI()*E$9*E$10)))</f>
        <v>0.000515290839867956</v>
      </c>
      <c r="F290" s="3" t="n">
        <f aca="false">F$8*F$10*(1-EXP(-2*$C290/SQRT(PI()*F$9*F$10)))</f>
        <v>0.000498824510968907</v>
      </c>
      <c r="G290" s="3" t="n">
        <f aca="false">G$8*G$10*(1-EXP(-2*$C290/SQRT(PI()*G$9*G$10)))</f>
        <v>0.000257645419933978</v>
      </c>
      <c r="H290" s="3" t="n">
        <f aca="false">H$8*H$10*(1-EXP(-2*$C290/SQRT(PI()*H$9*H$10)))</f>
        <v>5.2143954137149E-005</v>
      </c>
    </row>
    <row r="291" customFormat="false" ht="15.75" hidden="false" customHeight="false" outlineLevel="0" collapsed="false">
      <c r="C291" s="0" t="n">
        <v>27.9</v>
      </c>
      <c r="D291" s="3" t="n">
        <f aca="false">D$8*D$10*(1-EXP(-2*$C291/SQRT(PI()*D$9*D$10)))</f>
        <v>0.000521440440602003</v>
      </c>
      <c r="E291" s="3" t="n">
        <f aca="false">E$8*E$10*(1-EXP(-2*$C291/SQRT(PI()*E$9*E$10)))</f>
        <v>0.000515388586335321</v>
      </c>
      <c r="F291" s="3" t="n">
        <f aca="false">F$8*F$10*(1-EXP(-2*$C291/SQRT(PI()*F$9*F$10)))</f>
        <v>0.000499078547781152</v>
      </c>
      <c r="G291" s="3" t="n">
        <f aca="false">G$8*G$10*(1-EXP(-2*$C291/SQRT(PI()*G$9*G$10)))</f>
        <v>0.000257694293167661</v>
      </c>
      <c r="H291" s="3" t="n">
        <f aca="false">H$8*H$10*(1-EXP(-2*$C291/SQRT(PI()*H$9*H$10)))</f>
        <v>5.21440440602003E-005</v>
      </c>
    </row>
    <row r="292" customFormat="false" ht="15.75" hidden="false" customHeight="false" outlineLevel="0" collapsed="false">
      <c r="C292" s="0" t="n">
        <v>28</v>
      </c>
      <c r="D292" s="3" t="n">
        <f aca="false">D$8*D$10*(1-EXP(-2*$C292/SQRT(PI()*D$9*D$10)))</f>
        <v>0.000521441308311457</v>
      </c>
      <c r="E292" s="3" t="n">
        <f aca="false">E$8*E$10*(1-EXP(-2*$C292/SQRT(PI()*E$9*E$10)))</f>
        <v>0.000515484785374273</v>
      </c>
      <c r="F292" s="3" t="n">
        <f aca="false">F$8*F$10*(1-EXP(-2*$C292/SQRT(PI()*F$9*F$10)))</f>
        <v>0.00049932973420676</v>
      </c>
      <c r="G292" s="3" t="n">
        <f aca="false">G$8*G$10*(1-EXP(-2*$C292/SQRT(PI()*G$9*G$10)))</f>
        <v>0.000257742392687137</v>
      </c>
      <c r="H292" s="3" t="n">
        <f aca="false">H$8*H$10*(1-EXP(-2*$C292/SQRT(PI()*H$9*H$10)))</f>
        <v>5.21441308311457E-005</v>
      </c>
    </row>
    <row r="293" customFormat="false" ht="15.75" hidden="false" customHeight="false" outlineLevel="0" collapsed="false">
      <c r="C293" s="0" t="n">
        <v>28.1</v>
      </c>
      <c r="D293" s="3" t="n">
        <f aca="false">D$8*D$10*(1-EXP(-2*$C293/SQRT(PI()*D$9*D$10)))</f>
        <v>0.000521442145604774</v>
      </c>
      <c r="E293" s="3" t="n">
        <f aca="false">E$8*E$10*(1-EXP(-2*$C293/SQRT(PI()*E$9*E$10)))</f>
        <v>0.000515579461482216</v>
      </c>
      <c r="F293" s="3" t="n">
        <f aca="false">F$8*F$10*(1-EXP(-2*$C293/SQRT(PI()*F$9*F$10)))</f>
        <v>0.000499578102228117</v>
      </c>
      <c r="G293" s="3" t="n">
        <f aca="false">G$8*G$10*(1-EXP(-2*$C293/SQRT(PI()*G$9*G$10)))</f>
        <v>0.000257789730741108</v>
      </c>
      <c r="H293" s="3" t="n">
        <f aca="false">H$8*H$10*(1-EXP(-2*$C293/SQRT(PI()*H$9*H$10)))</f>
        <v>5.21442145604774E-005</v>
      </c>
    </row>
    <row r="294" customFormat="false" ht="15.75" hidden="false" customHeight="false" outlineLevel="0" collapsed="false">
      <c r="C294" s="0" t="n">
        <v>28.2</v>
      </c>
      <c r="D294" s="3" t="n">
        <f aca="false">D$8*D$10*(1-EXP(-2*$C294/SQRT(PI()*D$9*D$10)))</f>
        <v>0.00052144295354814</v>
      </c>
      <c r="E294" s="3" t="n">
        <f aca="false">E$8*E$10*(1-EXP(-2*$C294/SQRT(PI()*E$9*E$10)))</f>
        <v>0.000515672638768732</v>
      </c>
      <c r="F294" s="3" t="n">
        <f aca="false">F$8*F$10*(1-EXP(-2*$C294/SQRT(PI()*F$9*F$10)))</f>
        <v>0.000499823683468759</v>
      </c>
      <c r="G294" s="3" t="n">
        <f aca="false">G$8*G$10*(1-EXP(-2*$C294/SQRT(PI()*G$9*G$10)))</f>
        <v>0.000257836319384366</v>
      </c>
      <c r="H294" s="3" t="n">
        <f aca="false">H$8*H$10*(1-EXP(-2*$C294/SQRT(PI()*H$9*H$10)))</f>
        <v>5.2144295354814E-005</v>
      </c>
    </row>
    <row r="295" customFormat="false" ht="15.75" hidden="false" customHeight="false" outlineLevel="0" collapsed="false">
      <c r="C295" s="0" t="n">
        <v>28.3</v>
      </c>
      <c r="D295" s="3" t="n">
        <f aca="false">D$8*D$10*(1-EXP(-2*$C295/SQRT(PI()*D$9*D$10)))</f>
        <v>0.00052144373317037</v>
      </c>
      <c r="E295" s="3" t="n">
        <f aca="false">E$8*E$10*(1-EXP(-2*$C295/SQRT(PI()*E$9*E$10)))</f>
        <v>0.000515764340961728</v>
      </c>
      <c r="F295" s="3" t="n">
        <f aca="false">F$8*F$10*(1-EXP(-2*$C295/SQRT(PI()*F$9*F$10)))</f>
        <v>0.000500066509197392</v>
      </c>
      <c r="G295" s="3" t="n">
        <f aca="false">G$8*G$10*(1-EXP(-2*$C295/SQRT(PI()*G$9*G$10)))</f>
        <v>0.000257882170480864</v>
      </c>
      <c r="H295" s="3" t="n">
        <f aca="false">H$8*H$10*(1-EXP(-2*$C295/SQRT(PI()*H$9*H$10)))</f>
        <v>5.2144373317037E-005</v>
      </c>
    </row>
    <row r="296" customFormat="false" ht="15.75" hidden="false" customHeight="false" outlineLevel="0" collapsed="false">
      <c r="C296" s="0" t="n">
        <v>28.4</v>
      </c>
      <c r="D296" s="3" t="n">
        <f aca="false">D$8*D$10*(1-EXP(-2*$C296/SQRT(PI()*D$9*D$10)))</f>
        <v>0.000521444485464215</v>
      </c>
      <c r="E296" s="3" t="n">
        <f aca="false">E$8*E$10*(1-EXP(-2*$C296/SQRT(PI()*E$9*E$10)))</f>
        <v>0.00051585459141347</v>
      </c>
      <c r="F296" s="3" t="n">
        <f aca="false">F$8*F$10*(1-EXP(-2*$C296/SQRT(PI()*F$9*F$10)))</f>
        <v>0.000500306610331875</v>
      </c>
      <c r="G296" s="3" t="n">
        <f aca="false">G$8*G$10*(1-EXP(-2*$C296/SQRT(PI()*G$9*G$10)))</f>
        <v>0.000257927295706735</v>
      </c>
      <c r="H296" s="3" t="n">
        <f aca="false">H$8*H$10*(1-EXP(-2*$C296/SQRT(PI()*H$9*H$10)))</f>
        <v>5.21444485464215E-005</v>
      </c>
    </row>
    <row r="297" customFormat="false" ht="15.75" hidden="false" customHeight="false" outlineLevel="0" collapsed="false">
      <c r="C297" s="0" t="n">
        <v>28.5</v>
      </c>
      <c r="D297" s="3" t="n">
        <f aca="false">D$8*D$10*(1-EXP(-2*$C297/SQRT(PI()*D$9*D$10)))</f>
        <v>0.000521445211387628</v>
      </c>
      <c r="E297" s="3" t="n">
        <f aca="false">E$8*E$10*(1-EXP(-2*$C297/SQRT(PI()*E$9*E$10)))</f>
        <v>0.000515943413106535</v>
      </c>
      <c r="F297" s="3" t="n">
        <f aca="false">F$8*F$10*(1-EXP(-2*$C297/SQRT(PI()*F$9*F$10)))</f>
        <v>0.00050054401744316</v>
      </c>
      <c r="G297" s="3" t="n">
        <f aca="false">G$8*G$10*(1-EXP(-2*$C297/SQRT(PI()*G$9*G$10)))</f>
        <v>0.000257971706553268</v>
      </c>
      <c r="H297" s="3" t="n">
        <f aca="false">H$8*H$10*(1-EXP(-2*$C297/SQRT(PI()*H$9*H$10)))</f>
        <v>5.21445211387628E-005</v>
      </c>
    </row>
    <row r="298" customFormat="false" ht="15.75" hidden="false" customHeight="false" outlineLevel="0" collapsed="false">
      <c r="C298" s="0" t="n">
        <v>28.6</v>
      </c>
      <c r="D298" s="3" t="n">
        <f aca="false">D$8*D$10*(1-EXP(-2*$C298/SQRT(PI()*D$9*D$10)))</f>
        <v>0.000521445911864981</v>
      </c>
      <c r="E298" s="3" t="n">
        <f aca="false">E$8*E$10*(1-EXP(-2*$C298/SQRT(PI()*E$9*E$10)))</f>
        <v>0.000516030828659662</v>
      </c>
      <c r="F298" s="3" t="n">
        <f aca="false">F$8*F$10*(1-EXP(-2*$C298/SQRT(PI()*F$9*F$10)))</f>
        <v>0.000500778760759179</v>
      </c>
      <c r="G298" s="3" t="n">
        <f aca="false">G$8*G$10*(1-EXP(-2*$C298/SQRT(PI()*G$9*G$10)))</f>
        <v>0.000258015414329831</v>
      </c>
      <c r="H298" s="3" t="n">
        <f aca="false">H$8*H$10*(1-EXP(-2*$C298/SQRT(PI()*H$9*H$10)))</f>
        <v>5.21445911864981E-005</v>
      </c>
    </row>
    <row r="299" customFormat="false" ht="15.75" hidden="false" customHeight="false" outlineLevel="0" collapsed="false">
      <c r="C299" s="0" t="n">
        <v>28.7</v>
      </c>
      <c r="D299" s="3" t="n">
        <f aca="false">D$8*D$10*(1-EXP(-2*$C299/SQRT(PI()*D$9*D$10)))</f>
        <v>0.000521446587788244</v>
      </c>
      <c r="E299" s="3" t="n">
        <f aca="false">E$8*E$10*(1-EXP(-2*$C299/SQRT(PI()*E$9*E$10)))</f>
        <v>0.00051611686033351</v>
      </c>
      <c r="F299" s="3" t="n">
        <f aca="false">F$8*F$10*(1-EXP(-2*$C299/SQRT(PI()*F$9*F$10)))</f>
        <v>0.000501010870168697</v>
      </c>
      <c r="G299" s="3" t="n">
        <f aca="false">G$8*G$10*(1-EXP(-2*$C299/SQRT(PI()*G$9*G$10)))</f>
        <v>0.000258058430166755</v>
      </c>
      <c r="H299" s="3" t="n">
        <f aca="false">H$8*H$10*(1-EXP(-2*$C299/SQRT(PI()*H$9*H$10)))</f>
        <v>5.21446587788244E-005</v>
      </c>
    </row>
    <row r="300" customFormat="false" ht="15.75" hidden="false" customHeight="false" outlineLevel="0" collapsed="false">
      <c r="C300" s="0" t="n">
        <v>28.8</v>
      </c>
      <c r="D300" s="3" t="n">
        <f aca="false">D$8*D$10*(1-EXP(-2*$C300/SQRT(PI()*D$9*D$10)))</f>
        <v>0.00052144724001812</v>
      </c>
      <c r="E300" s="3" t="n">
        <f aca="false">E$8*E$10*(1-EXP(-2*$C300/SQRT(PI()*E$9*E$10)))</f>
        <v>0.00051620153003633</v>
      </c>
      <c r="F300" s="3" t="n">
        <f aca="false">F$8*F$10*(1-EXP(-2*$C300/SQRT(PI()*F$9*F$10)))</f>
        <v>0.000501240375225115</v>
      </c>
      <c r="G300" s="3" t="n">
        <f aca="false">G$8*G$10*(1-EXP(-2*$C300/SQRT(PI()*G$9*G$10)))</f>
        <v>0.000258100765018165</v>
      </c>
      <c r="H300" s="3" t="n">
        <f aca="false">H$8*H$10*(1-EXP(-2*$C300/SQRT(PI()*H$9*H$10)))</f>
        <v>5.2144724001812E-005</v>
      </c>
    </row>
    <row r="301" customFormat="false" ht="15.75" hidden="false" customHeight="false" outlineLevel="0" collapsed="false">
      <c r="C301" s="0" t="n">
        <v>28.9</v>
      </c>
      <c r="D301" s="3" t="n">
        <f aca="false">D$8*D$10*(1-EXP(-2*$C301/SQRT(PI()*D$9*D$10)))</f>
        <v>0.000521447869385142</v>
      </c>
      <c r="E301" s="3" t="n">
        <f aca="false">E$8*E$10*(1-EXP(-2*$C301/SQRT(PI()*E$9*E$10)))</f>
        <v>0.000516284859329543</v>
      </c>
      <c r="F301" s="3" t="n">
        <f aca="false">F$8*F$10*(1-EXP(-2*$C301/SQRT(PI()*F$9*F$10)))</f>
        <v>0.000501467305150234</v>
      </c>
      <c r="G301" s="3" t="n">
        <f aca="false">G$8*G$10*(1-EXP(-2*$C301/SQRT(PI()*G$9*G$10)))</f>
        <v>0.000258142429664771</v>
      </c>
      <c r="H301" s="3" t="n">
        <f aca="false">H$8*H$10*(1-EXP(-2*$C301/SQRT(PI()*H$9*H$10)))</f>
        <v>5.21447869385142E-005</v>
      </c>
    </row>
    <row r="302" customFormat="false" ht="15.75" hidden="false" customHeight="false" outlineLevel="0" collapsed="false">
      <c r="C302" s="0" t="n">
        <v>29</v>
      </c>
      <c r="D302" s="3" t="n">
        <f aca="false">D$8*D$10*(1-EXP(-2*$C302/SQRT(PI()*D$9*D$10)))</f>
        <v>0.000521448476690731</v>
      </c>
      <c r="E302" s="3" t="n">
        <f aca="false">E$8*E$10*(1-EXP(-2*$C302/SQRT(PI()*E$9*E$10)))</f>
        <v>0.000516366869433229</v>
      </c>
      <c r="F302" s="3" t="n">
        <f aca="false">F$8*F$10*(1-EXP(-2*$C302/SQRT(PI()*F$9*F$10)))</f>
        <v>0.000501691688837976</v>
      </c>
      <c r="G302" s="3" t="n">
        <f aca="false">G$8*G$10*(1-EXP(-2*$C302/SQRT(PI()*G$9*G$10)))</f>
        <v>0.000258183434716614</v>
      </c>
      <c r="H302" s="3" t="n">
        <f aca="false">H$8*H$10*(1-EXP(-2*$C302/SQRT(PI()*H$9*H$10)))</f>
        <v>5.21448476690731E-005</v>
      </c>
    </row>
    <row r="303" customFormat="false" ht="15.75" hidden="false" customHeight="false" outlineLevel="0" collapsed="false">
      <c r="C303" s="0" t="n">
        <v>29.1</v>
      </c>
      <c r="D303" s="3" t="n">
        <f aca="false">D$8*D$10*(1-EXP(-2*$C303/SQRT(PI()*D$9*D$10)))</f>
        <v>0.000521449062708214</v>
      </c>
      <c r="E303" s="3" t="n">
        <f aca="false">E$8*E$10*(1-EXP(-2*$C303/SQRT(PI()*E$9*E$10)))</f>
        <v>0.000516447581231533</v>
      </c>
      <c r="F303" s="3" t="n">
        <f aca="false">F$8*F$10*(1-EXP(-2*$C303/SQRT(PI()*F$9*F$10)))</f>
        <v>0.000501913554858064</v>
      </c>
      <c r="G303" s="3" t="n">
        <f aca="false">G$8*G$10*(1-EXP(-2*$C303/SQRT(PI()*G$9*G$10)))</f>
        <v>0.000258223790615766</v>
      </c>
      <c r="H303" s="3" t="n">
        <f aca="false">H$8*H$10*(1-EXP(-2*$C303/SQRT(PI()*H$9*H$10)))</f>
        <v>5.21449062708214E-005</v>
      </c>
    </row>
    <row r="304" customFormat="false" ht="15.75" hidden="false" customHeight="false" outlineLevel="0" collapsed="false">
      <c r="C304" s="0" t="n">
        <v>29.2</v>
      </c>
      <c r="D304" s="3" t="n">
        <f aca="false">D$8*D$10*(1-EXP(-2*$C304/SQRT(PI()*D$9*D$10)))</f>
        <v>0.000521449628183811</v>
      </c>
      <c r="E304" s="3" t="n">
        <f aca="false">E$8*E$10*(1-EXP(-2*$C304/SQRT(PI()*E$9*E$10)))</f>
        <v>0.000516527015277981</v>
      </c>
      <c r="F304" s="3" t="n">
        <f aca="false">F$8*F$10*(1-EXP(-2*$C304/SQRT(PI()*F$9*F$10)))</f>
        <v>0.000502132931459655</v>
      </c>
      <c r="G304" s="3" t="n">
        <f aca="false">G$8*G$10*(1-EXP(-2*$C304/SQRT(PI()*G$9*G$10)))</f>
        <v>0.000258263507638991</v>
      </c>
      <c r="H304" s="3" t="n">
        <f aca="false">H$8*H$10*(1-EXP(-2*$C304/SQRT(PI()*H$9*H$10)))</f>
        <v>5.21449628183811E-005</v>
      </c>
    </row>
    <row r="305" customFormat="false" ht="15.75" hidden="false" customHeight="false" outlineLevel="0" collapsed="false">
      <c r="C305" s="0" t="n">
        <v>29.3</v>
      </c>
      <c r="D305" s="3" t="n">
        <f aca="false">D$8*D$10*(1-EXP(-2*$C305/SQRT(PI()*D$9*D$10)))</f>
        <v>0.000521450173837584</v>
      </c>
      <c r="E305" s="3" t="n">
        <f aca="false">E$8*E$10*(1-EXP(-2*$C305/SQRT(PI()*E$9*E$10)))</f>
        <v>0.000516605191800717</v>
      </c>
      <c r="F305" s="3" t="n">
        <f aca="false">F$8*F$10*(1-EXP(-2*$C305/SQRT(PI()*F$9*F$10)))</f>
        <v>0.000502349846574943</v>
      </c>
      <c r="G305" s="3" t="n">
        <f aca="false">G$8*G$10*(1-EXP(-2*$C305/SQRT(PI()*G$9*G$10)))</f>
        <v>0.000258302595900359</v>
      </c>
      <c r="H305" s="3" t="n">
        <f aca="false">H$8*H$10*(1-EXP(-2*$C305/SQRT(PI()*H$9*H$10)))</f>
        <v>5.21450173837584E-005</v>
      </c>
    </row>
    <row r="306" customFormat="false" ht="15.75" hidden="false" customHeight="false" outlineLevel="0" collapsed="false">
      <c r="C306" s="0" t="n">
        <v>29.4</v>
      </c>
      <c r="D306" s="3" t="n">
        <f aca="false">D$8*D$10*(1-EXP(-2*$C306/SQRT(PI()*D$9*D$10)))</f>
        <v>0.000521450700364355</v>
      </c>
      <c r="E306" s="3" t="n">
        <f aca="false">E$8*E$10*(1-EXP(-2*$C306/SQRT(PI()*E$9*E$10)))</f>
        <v>0.000516682130707652</v>
      </c>
      <c r="F306" s="3" t="n">
        <f aca="false">F$8*F$10*(1-EXP(-2*$C306/SQRT(PI()*F$9*F$10)))</f>
        <v>0.000502564327822711</v>
      </c>
      <c r="G306" s="3" t="n">
        <f aca="false">G$8*G$10*(1-EXP(-2*$C306/SQRT(PI()*G$9*G$10)))</f>
        <v>0.000258341065353826</v>
      </c>
      <c r="H306" s="3" t="n">
        <f aca="false">H$8*H$10*(1-EXP(-2*$C306/SQRT(PI()*H$9*H$10)))</f>
        <v>5.21450700364355E-005</v>
      </c>
    </row>
    <row r="307" customFormat="false" ht="15.75" hidden="false" customHeight="false" outlineLevel="0" collapsed="false">
      <c r="C307" s="0" t="n">
        <v>29.5</v>
      </c>
      <c r="D307" s="3" t="n">
        <f aca="false">D$8*D$10*(1-EXP(-2*$C307/SQRT(PI()*D$9*D$10)))</f>
        <v>0.000521451208434589</v>
      </c>
      <c r="E307" s="3" t="n">
        <f aca="false">E$8*E$10*(1-EXP(-2*$C307/SQRT(PI()*E$9*E$10)))</f>
        <v>0.000516757851591531</v>
      </c>
      <c r="F307" s="3" t="n">
        <f aca="false">F$8*F$10*(1-EXP(-2*$C307/SQRT(PI()*F$9*F$10)))</f>
        <v>0.000502776402511849</v>
      </c>
      <c r="G307" s="3" t="n">
        <f aca="false">G$8*G$10*(1-EXP(-2*$C307/SQRT(PI()*G$9*G$10)))</f>
        <v>0.000258378925795766</v>
      </c>
      <c r="H307" s="3" t="n">
        <f aca="false">H$8*H$10*(1-EXP(-2*$C307/SQRT(PI()*H$9*H$10)))</f>
        <v>5.21451208434589E-005</v>
      </c>
    </row>
    <row r="308" customFormat="false" ht="15.75" hidden="false" customHeight="false" outlineLevel="0" collapsed="false">
      <c r="C308" s="0" t="n">
        <v>29.6</v>
      </c>
      <c r="D308" s="3" t="n">
        <f aca="false">D$8*D$10*(1-EXP(-2*$C308/SQRT(PI()*D$9*D$10)))</f>
        <v>0.00052145169869525</v>
      </c>
      <c r="E308" s="3" t="n">
        <f aca="false">E$8*E$10*(1-EXP(-2*$C308/SQRT(PI()*E$9*E$10)))</f>
        <v>0.000516832373734931</v>
      </c>
      <c r="F308" s="3" t="n">
        <f aca="false">F$8*F$10*(1-EXP(-2*$C308/SQRT(PI()*F$9*F$10)))</f>
        <v>0.000502986097644832</v>
      </c>
      <c r="G308" s="3" t="n">
        <f aca="false">G$8*G$10*(1-EXP(-2*$C308/SQRT(PI()*G$9*G$10)))</f>
        <v>0.000258416186867465</v>
      </c>
      <c r="H308" s="3" t="n">
        <f aca="false">H$8*H$10*(1-EXP(-2*$C308/SQRT(PI()*H$9*H$10)))</f>
        <v>5.2145169869525E-005</v>
      </c>
    </row>
    <row r="309" customFormat="false" ht="15.75" hidden="false" customHeight="false" outlineLevel="0" collapsed="false">
      <c r="C309" s="0" t="n">
        <v>29.7</v>
      </c>
      <c r="D309" s="3" t="n">
        <f aca="false">D$8*D$10*(1-EXP(-2*$C309/SQRT(PI()*D$9*D$10)))</f>
        <v>0.000521452171770625</v>
      </c>
      <c r="E309" s="3" t="n">
        <f aca="false">E$8*E$10*(1-EXP(-2*$C309/SQRT(PI()*E$9*E$10)))</f>
        <v>0.000516905716115161</v>
      </c>
      <c r="F309" s="3" t="n">
        <f aca="false">F$8*F$10*(1-EXP(-2*$C309/SQRT(PI()*F$9*F$10)))</f>
        <v>0.000503193439921157</v>
      </c>
      <c r="G309" s="3" t="n">
        <f aca="false">G$8*G$10*(1-EXP(-2*$C309/SQRT(PI()*G$9*G$10)))</f>
        <v>0.00025845285805758</v>
      </c>
      <c r="H309" s="3" t="n">
        <f aca="false">H$8*H$10*(1-EXP(-2*$C309/SQRT(PI()*H$9*H$10)))</f>
        <v>5.21452171770625E-005</v>
      </c>
    </row>
    <row r="310" customFormat="false" ht="15.75" hidden="false" customHeight="false" outlineLevel="0" collapsed="false">
      <c r="C310" s="0" t="n">
        <v>29.8</v>
      </c>
      <c r="D310" s="3" t="n">
        <f aca="false">D$8*D$10*(1-EXP(-2*$C310/SQRT(PI()*D$9*D$10)))</f>
        <v>0.000521452628263114</v>
      </c>
      <c r="E310" s="3" t="n">
        <f aca="false">E$8*E$10*(1-EXP(-2*$C310/SQRT(PI()*E$9*E$10)))</f>
        <v>0.000516977897409101</v>
      </c>
      <c r="F310" s="3" t="n">
        <f aca="false">F$8*F$10*(1-EXP(-2*$C310/SQRT(PI()*F$9*F$10)))</f>
        <v>0.000503398455740743</v>
      </c>
      <c r="G310" s="3" t="n">
        <f aca="false">G$8*G$10*(1-EXP(-2*$C310/SQRT(PI()*G$9*G$10)))</f>
        <v>0.00025848894870455</v>
      </c>
      <c r="H310" s="3" t="n">
        <f aca="false">H$8*H$10*(1-EXP(-2*$C310/SQRT(PI()*H$9*H$10)))</f>
        <v>5.21452628263114E-005</v>
      </c>
    </row>
    <row r="311" customFormat="false" ht="15.75" hidden="false" customHeight="false" outlineLevel="0" collapsed="false">
      <c r="C311" s="0" t="n">
        <v>29.9</v>
      </c>
      <c r="D311" s="3" t="n">
        <f aca="false">D$8*D$10*(1-EXP(-2*$C311/SQRT(PI()*D$9*D$10)))</f>
        <v>0.000521453068754004</v>
      </c>
      <c r="E311" s="3" t="n">
        <f aca="false">E$8*E$10*(1-EXP(-2*$C311/SQRT(PI()*E$9*E$10)))</f>
        <v>0.000517048935997957</v>
      </c>
      <c r="F311" s="3" t="n">
        <f aca="false">F$8*F$10*(1-EXP(-2*$C311/SQRT(PI()*F$9*F$10)))</f>
        <v>0.00050360117120729</v>
      </c>
      <c r="G311" s="3" t="n">
        <f aca="false">G$8*G$10*(1-EXP(-2*$C311/SQRT(PI()*G$9*G$10)))</f>
        <v>0.000258524467998979</v>
      </c>
      <c r="H311" s="3" t="n">
        <f aca="false">H$8*H$10*(1-EXP(-2*$C311/SQRT(PI()*H$9*H$10)))</f>
        <v>5.21453068754004E-005</v>
      </c>
    </row>
    <row r="312" customFormat="false" ht="15.75" hidden="false" customHeight="false" outlineLevel="0" collapsed="false">
      <c r="C312" s="0" t="n">
        <v>30</v>
      </c>
      <c r="D312" s="3" t="n">
        <f aca="false">D$8*D$10*(1-EXP(-2*$C312/SQRT(PI()*D$9*D$10)))</f>
        <v>0.000521453493804206</v>
      </c>
      <c r="E312" s="3" t="n">
        <f aca="false">E$8*E$10*(1-EXP(-2*$C312/SQRT(PI()*E$9*E$10)))</f>
        <v>0.000517118849971941</v>
      </c>
      <c r="F312" s="3" t="n">
        <f aca="false">F$8*F$10*(1-EXP(-2*$C312/SQRT(PI()*F$9*F$10)))</f>
        <v>0.000503801612131608</v>
      </c>
      <c r="G312" s="3" t="n">
        <f aca="false">G$8*G$10*(1-EXP(-2*$C312/SQRT(PI()*G$9*G$10)))</f>
        <v>0.000258559424985971</v>
      </c>
      <c r="H312" s="3" t="n">
        <f aca="false">H$8*H$10*(1-EXP(-2*$C312/SQRT(PI()*H$9*H$10)))</f>
        <v>5.21453493804206E-005</v>
      </c>
    </row>
    <row r="313" customFormat="false" ht="15.75" hidden="false" customHeight="false" outlineLevel="0" collapsed="false">
      <c r="C313" s="0" t="n">
        <v>30.1</v>
      </c>
      <c r="D313" s="3" t="n">
        <f aca="false">D$8*D$10*(1-EXP(-2*$C313/SQRT(PI()*D$9*D$10)))</f>
        <v>0.000521453903954966</v>
      </c>
      <c r="E313" s="3" t="n">
        <f aca="false">E$8*E$10*(1-EXP(-2*$C313/SQRT(PI()*E$9*E$10)))</f>
        <v>0.000517187657134879</v>
      </c>
      <c r="F313" s="3" t="n">
        <f aca="false">F$8*F$10*(1-EXP(-2*$C313/SQRT(PI()*F$9*F$10)))</f>
        <v>0.000503999804034899</v>
      </c>
      <c r="G313" s="3" t="n">
        <f aca="false">G$8*G$10*(1-EXP(-2*$C313/SQRT(PI()*G$9*G$10)))</f>
        <v>0.000258593828567439</v>
      </c>
      <c r="H313" s="3" t="n">
        <f aca="false">H$8*H$10*(1-EXP(-2*$C313/SQRT(PI()*H$9*H$10)))</f>
        <v>5.21453903954966E-005</v>
      </c>
    </row>
    <row r="314" customFormat="false" ht="15.75" hidden="false" customHeight="false" outlineLevel="0" collapsed="false">
      <c r="C314" s="0" t="n">
        <v>30.2</v>
      </c>
      <c r="D314" s="3" t="n">
        <f aca="false">D$8*D$10*(1-EXP(-2*$C314/SQRT(PI()*D$9*D$10)))</f>
        <v>0.000521454299728561</v>
      </c>
      <c r="E314" s="3" t="n">
        <f aca="false">E$8*E$10*(1-EXP(-2*$C314/SQRT(PI()*E$9*E$10)))</f>
        <v>0.000517255375008741</v>
      </c>
      <c r="F314" s="3" t="n">
        <f aca="false">F$8*F$10*(1-EXP(-2*$C314/SQRT(PI()*F$9*F$10)))</f>
        <v>0.000504195772152008</v>
      </c>
      <c r="G314" s="3" t="n">
        <f aca="false">G$8*G$10*(1-EXP(-2*$C314/SQRT(PI()*G$9*G$10)))</f>
        <v>0.000258627687504371</v>
      </c>
      <c r="H314" s="3" t="n">
        <f aca="false">H$8*H$10*(1-EXP(-2*$C314/SQRT(PI()*H$9*H$10)))</f>
        <v>5.21454299728561E-005</v>
      </c>
    </row>
    <row r="315" customFormat="false" ht="15.75" hidden="false" customHeight="false" outlineLevel="0" collapsed="false">
      <c r="C315" s="0" t="n">
        <v>30.3</v>
      </c>
      <c r="D315" s="3" t="n">
        <f aca="false">D$8*D$10*(1-EXP(-2*$C315/SQRT(PI()*D$9*D$10)))</f>
        <v>0.000521454681628959</v>
      </c>
      <c r="E315" s="3" t="n">
        <f aca="false">E$8*E$10*(1-EXP(-2*$C315/SQRT(PI()*E$9*E$10)))</f>
        <v>0.000517322020838109</v>
      </c>
      <c r="F315" s="3" t="n">
        <f aca="false">F$8*F$10*(1-EXP(-2*$C315/SQRT(PI()*F$9*F$10)))</f>
        <v>0.000504389541434634</v>
      </c>
      <c r="G315" s="3" t="n">
        <f aca="false">G$8*G$10*(1-EXP(-2*$C315/SQRT(PI()*G$9*G$10)))</f>
        <v>0.000258661010419055</v>
      </c>
      <c r="H315" s="3" t="n">
        <f aca="false">H$8*H$10*(1-EXP(-2*$C315/SQRT(PI()*H$9*H$10)))</f>
        <v>5.21454681628959E-005</v>
      </c>
    </row>
    <row r="316" customFormat="false" ht="15.75" hidden="false" customHeight="false" outlineLevel="0" collapsed="false">
      <c r="C316" s="0" t="n">
        <v>30.4</v>
      </c>
      <c r="D316" s="3" t="n">
        <f aca="false">D$8*D$10*(1-EXP(-2*$C316/SQRT(PI()*D$9*D$10)))</f>
        <v>0.000521455050142461</v>
      </c>
      <c r="E316" s="3" t="n">
        <f aca="false">E$8*E$10*(1-EXP(-2*$C316/SQRT(PI()*E$9*E$10)))</f>
        <v>0.000517387611594565</v>
      </c>
      <c r="F316" s="3" t="n">
        <f aca="false">F$8*F$10*(1-EXP(-2*$C316/SQRT(PI()*F$9*F$10)))</f>
        <v>0.000504581136554512</v>
      </c>
      <c r="G316" s="3" t="n">
        <f aca="false">G$8*G$10*(1-EXP(-2*$C316/SQRT(PI()*G$9*G$10)))</f>
        <v>0.000258693805797283</v>
      </c>
      <c r="H316" s="3" t="n">
        <f aca="false">H$8*H$10*(1-EXP(-2*$C316/SQRT(PI()*H$9*H$10)))</f>
        <v>5.21455050142461E-005</v>
      </c>
    </row>
    <row r="317" customFormat="false" ht="15.75" hidden="false" customHeight="false" outlineLevel="0" collapsed="false">
      <c r="C317" s="0" t="n">
        <v>30.5</v>
      </c>
      <c r="D317" s="3" t="n">
        <f aca="false">D$8*D$10*(1-EXP(-2*$C317/SQRT(PI()*D$9*D$10)))</f>
        <v>0.000521455405738325</v>
      </c>
      <c r="E317" s="3" t="n">
        <f aca="false">E$8*E$10*(1-EXP(-2*$C317/SQRT(PI()*E$9*E$10)))</f>
        <v>0.000517452163981011</v>
      </c>
      <c r="F317" s="3" t="n">
        <f aca="false">F$8*F$10*(1-EXP(-2*$C317/SQRT(PI()*F$9*F$10)))</f>
        <v>0.000504770581906547</v>
      </c>
      <c r="G317" s="3" t="n">
        <f aca="false">G$8*G$10*(1-EXP(-2*$C317/SQRT(PI()*G$9*G$10)))</f>
        <v>0.000258726081990506</v>
      </c>
      <c r="H317" s="3" t="n">
        <f aca="false">H$8*H$10*(1-EXP(-2*$C317/SQRT(PI()*H$9*H$10)))</f>
        <v>5.21455405738325E-005</v>
      </c>
    </row>
    <row r="318" customFormat="false" ht="15.75" hidden="false" customHeight="false" outlineLevel="0" collapsed="false">
      <c r="C318" s="0" t="n">
        <v>30.6</v>
      </c>
      <c r="D318" s="3" t="n">
        <f aca="false">D$8*D$10*(1-EXP(-2*$C318/SQRT(PI()*D$9*D$10)))</f>
        <v>0.000521455748869356</v>
      </c>
      <c r="E318" s="3" t="n">
        <f aca="false">E$8*E$10*(1-EXP(-2*$C318/SQRT(PI()*E$9*E$10)))</f>
        <v>0.000517515694435927</v>
      </c>
      <c r="F318" s="3" t="n">
        <f aca="false">F$8*F$10*(1-EXP(-2*$C318/SQRT(PI()*F$9*F$10)))</f>
        <v>0.000504957901611928</v>
      </c>
      <c r="G318" s="3" t="n">
        <f aca="false">G$8*G$10*(1-EXP(-2*$C318/SQRT(PI()*G$9*G$10)))</f>
        <v>0.000258757847217964</v>
      </c>
      <c r="H318" s="3" t="n">
        <f aca="false">H$8*H$10*(1-EXP(-2*$C318/SQRT(PI()*H$9*H$10)))</f>
        <v>5.21455748869356E-005</v>
      </c>
    </row>
    <row r="319" customFormat="false" ht="15.75" hidden="false" customHeight="false" outlineLevel="0" collapsed="false">
      <c r="C319" s="0" t="n">
        <v>30.7</v>
      </c>
      <c r="D319" s="3" t="n">
        <f aca="false">D$8*D$10*(1-EXP(-2*$C319/SQRT(PI()*D$9*D$10)))</f>
        <v>0.000521456079972489</v>
      </c>
      <c r="E319" s="3" t="n">
        <f aca="false">E$8*E$10*(1-EXP(-2*$C319/SQRT(PI()*E$9*E$10)))</f>
        <v>0.000517578219137554</v>
      </c>
      <c r="F319" s="3" t="n">
        <f aca="false">F$8*F$10*(1-EXP(-2*$C319/SQRT(PI()*F$9*F$10)))</f>
        <v>0.000505143119521193</v>
      </c>
      <c r="G319" s="3" t="n">
        <f aca="false">G$8*G$10*(1-EXP(-2*$C319/SQRT(PI()*G$9*G$10)))</f>
        <v>0.000258789109568777</v>
      </c>
      <c r="H319" s="3" t="n">
        <f aca="false">H$8*H$10*(1-EXP(-2*$C319/SQRT(PI()*H$9*H$10)))</f>
        <v>5.21456079972489E-005</v>
      </c>
    </row>
    <row r="320" customFormat="false" ht="15.75" hidden="false" customHeight="false" outlineLevel="0" collapsed="false">
      <c r="C320" s="0" t="n">
        <v>30.8</v>
      </c>
      <c r="D320" s="3" t="n">
        <f aca="false">D$8*D$10*(1-EXP(-2*$C320/SQRT(PI()*D$9*D$10)))</f>
        <v>0.000521456399469342</v>
      </c>
      <c r="E320" s="3" t="n">
        <f aca="false">E$8*E$10*(1-EXP(-2*$C320/SQRT(PI()*E$9*E$10)))</f>
        <v>0.000517639754008013</v>
      </c>
      <c r="F320" s="3" t="n">
        <f aca="false">F$8*F$10*(1-EXP(-2*$C320/SQRT(PI()*F$9*F$10)))</f>
        <v>0.000505326259217268</v>
      </c>
      <c r="G320" s="3" t="n">
        <f aca="false">G$8*G$10*(1-EXP(-2*$C320/SQRT(PI()*G$9*G$10)))</f>
        <v>0.000258819877004007</v>
      </c>
      <c r="H320" s="3" t="n">
        <f aca="false">H$8*H$10*(1-EXP(-2*$C320/SQRT(PI()*H$9*H$10)))</f>
        <v>5.21456399469342E-005</v>
      </c>
    </row>
    <row r="321" customFormat="false" ht="15.75" hidden="false" customHeight="false" outlineLevel="0" collapsed="false">
      <c r="C321" s="0" t="n">
        <v>30.9</v>
      </c>
      <c r="D321" s="3" t="n">
        <f aca="false">D$8*D$10*(1-EXP(-2*$C321/SQRT(PI()*D$9*D$10)))</f>
        <v>0.000521456707766754</v>
      </c>
      <c r="E321" s="3" t="n">
        <f aca="false">E$8*E$10*(1-EXP(-2*$C321/SQRT(PI()*E$9*E$10)))</f>
        <v>0.000517700314717364</v>
      </c>
      <c r="F321" s="3" t="n">
        <f aca="false">F$8*F$10*(1-EXP(-2*$C321/SQRT(PI()*F$9*F$10)))</f>
        <v>0.000505507344018473</v>
      </c>
      <c r="G321" s="3" t="n">
        <f aca="false">G$8*G$10*(1-EXP(-2*$C321/SQRT(PI()*G$9*G$10)))</f>
        <v>0.000258850157358682</v>
      </c>
      <c r="H321" s="3" t="n">
        <f aca="false">H$8*H$10*(1-EXP(-2*$C321/SQRT(PI()*H$9*H$10)))</f>
        <v>5.21456707766754E-005</v>
      </c>
    </row>
    <row r="322" customFormat="false" ht="15.75" hidden="false" customHeight="false" outlineLevel="0" collapsed="false">
      <c r="C322" s="0" t="n">
        <v>31</v>
      </c>
      <c r="D322" s="3" t="n">
        <f aca="false">D$8*D$10*(1-EXP(-2*$C322/SQRT(PI()*D$9*D$10)))</f>
        <v>0.000521457005257304</v>
      </c>
      <c r="E322" s="3" t="n">
        <f aca="false">E$8*E$10*(1-EXP(-2*$C322/SQRT(PI()*E$9*E$10)))</f>
        <v>0.000517759916687592</v>
      </c>
      <c r="F322" s="3" t="n">
        <f aca="false">F$8*F$10*(1-EXP(-2*$C322/SQRT(PI()*F$9*F$10)))</f>
        <v>0.000505686396981484</v>
      </c>
      <c r="G322" s="3" t="n">
        <f aca="false">G$8*G$10*(1-EXP(-2*$C322/SQRT(PI()*G$9*G$10)))</f>
        <v>0.000258879958343796</v>
      </c>
      <c r="H322" s="3" t="n">
        <f aca="false">H$8*H$10*(1-EXP(-2*$C322/SQRT(PI()*H$9*H$10)))</f>
        <v>5.21457005257304E-005</v>
      </c>
    </row>
    <row r="323" customFormat="false" ht="15.75" hidden="false" customHeight="false" outlineLevel="0" collapsed="false">
      <c r="C323" s="0" t="n">
        <v>31.1</v>
      </c>
      <c r="D323" s="3" t="n">
        <f aca="false">D$8*D$10*(1-EXP(-2*$C323/SQRT(PI()*D$9*D$10)))</f>
        <v>0.000521457292319808</v>
      </c>
      <c r="E323" s="3" t="n">
        <f aca="false">E$8*E$10*(1-EXP(-2*$C323/SQRT(PI()*E$9*E$10)))</f>
        <v>0.000517818575096535</v>
      </c>
      <c r="F323" s="3" t="n">
        <f aca="false">F$8*F$10*(1-EXP(-2*$C323/SQRT(PI()*F$9*F$10)))</f>
        <v>0.000505863440904274</v>
      </c>
      <c r="G323" s="3" t="n">
        <f aca="false">G$8*G$10*(1-EXP(-2*$C323/SQRT(PI()*G$9*G$10)))</f>
        <v>0.000258909287548268</v>
      </c>
      <c r="H323" s="3" t="n">
        <f aca="false">H$8*H$10*(1-EXP(-2*$C323/SQRT(PI()*H$9*H$10)))</f>
        <v>5.21457292319808E-005</v>
      </c>
    </row>
    <row r="324" customFormat="false" ht="15.75" hidden="false" customHeight="false" outlineLevel="0" collapsed="false">
      <c r="C324" s="0" t="n">
        <v>31.2</v>
      </c>
      <c r="D324" s="3" t="n">
        <f aca="false">D$8*D$10*(1-EXP(-2*$C324/SQRT(PI()*D$9*D$10)))</f>
        <v>0.000521457569319805</v>
      </c>
      <c r="E324" s="3" t="n">
        <f aca="false">E$8*E$10*(1-EXP(-2*$C324/SQRT(PI()*E$9*E$10)))</f>
        <v>0.000517876304881753</v>
      </c>
      <c r="F324" s="3" t="n">
        <f aca="false">F$8*F$10*(1-EXP(-2*$C324/SQRT(PI()*F$9*F$10)))</f>
        <v>0.000506038498329015</v>
      </c>
      <c r="G324" s="3" t="n">
        <f aca="false">G$8*G$10*(1-EXP(-2*$C324/SQRT(PI()*G$9*G$10)))</f>
        <v>0.000258938152440877</v>
      </c>
      <c r="H324" s="3" t="n">
        <f aca="false">H$8*H$10*(1-EXP(-2*$C324/SQRT(PI()*H$9*H$10)))</f>
        <v>5.21457569319805E-005</v>
      </c>
    </row>
    <row r="325" customFormat="false" ht="15.75" hidden="false" customHeight="false" outlineLevel="0" collapsed="false">
      <c r="C325" s="0" t="n">
        <v>31.3</v>
      </c>
      <c r="D325" s="3" t="n">
        <f aca="false">D$8*D$10*(1-EXP(-2*$C325/SQRT(PI()*D$9*D$10)))</f>
        <v>0.000521457836610019</v>
      </c>
      <c r="E325" s="3" t="n">
        <f aca="false">E$8*E$10*(1-EXP(-2*$C325/SQRT(PI()*E$9*E$10)))</f>
        <v>0.000517933120744326</v>
      </c>
      <c r="F325" s="3" t="n">
        <f aca="false">F$8*F$10*(1-EXP(-2*$C325/SQRT(PI()*F$9*F$10)))</f>
        <v>0.000506211591544948</v>
      </c>
      <c r="G325" s="3" t="n">
        <f aca="false">G$8*G$10*(1-EXP(-2*$C325/SQRT(PI()*G$9*G$10)))</f>
        <v>0.000258966560372163</v>
      </c>
      <c r="H325" s="3" t="n">
        <f aca="false">H$8*H$10*(1-EXP(-2*$C325/SQRT(PI()*H$9*H$10)))</f>
        <v>5.21457836610019E-005</v>
      </c>
    </row>
    <row r="326" customFormat="false" ht="15.75" hidden="false" customHeight="false" outlineLevel="0" collapsed="false">
      <c r="C326" s="0" t="n">
        <v>31.4</v>
      </c>
      <c r="D326" s="3" t="n">
        <f aca="false">D$8*D$10*(1-EXP(-2*$C326/SQRT(PI()*D$9*D$10)))</f>
        <v>0.000521458094530811</v>
      </c>
      <c r="E326" s="3" t="n">
        <f aca="false">E$8*E$10*(1-EXP(-2*$C326/SQRT(PI()*E$9*E$10)))</f>
        <v>0.000517989037152602</v>
      </c>
      <c r="F326" s="3" t="n">
        <f aca="false">F$8*F$10*(1-EXP(-2*$C326/SQRT(PI()*F$9*F$10)))</f>
        <v>0.000506382742591218</v>
      </c>
      <c r="G326" s="3" t="n">
        <f aca="false">G$8*G$10*(1-EXP(-2*$C326/SQRT(PI()*G$9*G$10)))</f>
        <v>0.000258994518576301</v>
      </c>
      <c r="H326" s="3" t="n">
        <f aca="false">H$8*H$10*(1-EXP(-2*$C326/SQRT(PI()*H$9*H$10)))</f>
        <v>5.21458094530811E-005</v>
      </c>
    </row>
    <row r="327" customFormat="false" ht="15.75" hidden="false" customHeight="false" outlineLevel="0" collapsed="false">
      <c r="C327" s="0" t="n">
        <v>31.5</v>
      </c>
      <c r="D327" s="3" t="n">
        <f aca="false">D$8*D$10*(1-EXP(-2*$C327/SQRT(PI()*D$9*D$10)))</f>
        <v>0.000521458343410611</v>
      </c>
      <c r="E327" s="3" t="n">
        <f aca="false">E$8*E$10*(1-EXP(-2*$C327/SQRT(PI()*E$9*E$10)))</f>
        <v>0.000518044068345879</v>
      </c>
      <c r="F327" s="3" t="n">
        <f aca="false">F$8*F$10*(1-EXP(-2*$C327/SQRT(PI()*F$9*F$10)))</f>
        <v>0.000506551973259685</v>
      </c>
      <c r="G327" s="3" t="n">
        <f aca="false">G$8*G$10*(1-EXP(-2*$C327/SQRT(PI()*G$9*G$10)))</f>
        <v>0.000259022034172939</v>
      </c>
      <c r="H327" s="3" t="n">
        <f aca="false">H$8*H$10*(1-EXP(-2*$C327/SQRT(PI()*H$9*H$10)))</f>
        <v>5.21458343410611E-005</v>
      </c>
    </row>
    <row r="328" customFormat="false" ht="15.75" hidden="false" customHeight="false" outlineLevel="0" collapsed="false">
      <c r="C328" s="0" t="n">
        <v>31.6</v>
      </c>
      <c r="D328" s="3" t="n">
        <f aca="false">D$8*D$10*(1-EXP(-2*$C328/SQRT(PI()*D$9*D$10)))</f>
        <v>0.000521458583566336</v>
      </c>
      <c r="E328" s="3" t="n">
        <f aca="false">E$8*E$10*(1-EXP(-2*$C328/SQRT(PI()*E$9*E$10)))</f>
        <v>0.000518098228338033</v>
      </c>
      <c r="F328" s="3" t="n">
        <f aca="false">F$8*F$10*(1-EXP(-2*$C328/SQRT(PI()*F$9*F$10)))</f>
        <v>0.000506719305097696</v>
      </c>
      <c r="G328" s="3" t="n">
        <f aca="false">G$8*G$10*(1-EXP(-2*$C328/SQRT(PI()*G$9*G$10)))</f>
        <v>0.000259049114169016</v>
      </c>
      <c r="H328" s="3" t="n">
        <f aca="false">H$8*H$10*(1-EXP(-2*$C328/SQRT(PI()*H$9*H$10)))</f>
        <v>5.21458583566335E-005</v>
      </c>
    </row>
    <row r="329" customFormat="false" ht="15.75" hidden="false" customHeight="false" outlineLevel="0" collapsed="false">
      <c r="C329" s="0" t="n">
        <v>31.7</v>
      </c>
      <c r="D329" s="3" t="n">
        <f aca="false">D$8*D$10*(1-EXP(-2*$C329/SQRT(PI()*D$9*D$10)))</f>
        <v>0.000521458815303793</v>
      </c>
      <c r="E329" s="3" t="n">
        <f aca="false">E$8*E$10*(1-EXP(-2*$C329/SQRT(PI()*E$9*E$10)))</f>
        <v>0.000518151530921086</v>
      </c>
      <c r="F329" s="3" t="n">
        <f aca="false">F$8*F$10*(1-EXP(-2*$C329/SQRT(PI()*F$9*F$10)))</f>
        <v>0.000506884759410827</v>
      </c>
      <c r="G329" s="3" t="n">
        <f aca="false">G$8*G$10*(1-EXP(-2*$C329/SQRT(PI()*G$9*G$10)))</f>
        <v>0.000259075765460543</v>
      </c>
      <c r="H329" s="3" t="n">
        <f aca="false">H$8*H$10*(1-EXP(-2*$C329/SQRT(PI()*H$9*H$10)))</f>
        <v>5.21458815303793E-005</v>
      </c>
    </row>
    <row r="330" customFormat="false" ht="15.75" hidden="false" customHeight="false" outlineLevel="0" collapsed="false">
      <c r="C330" s="0" t="n">
        <v>31.8</v>
      </c>
      <c r="D330" s="3" t="n">
        <f aca="false">D$8*D$10*(1-EXP(-2*$C330/SQRT(PI()*D$9*D$10)))</f>
        <v>0.000521459038918073</v>
      </c>
      <c r="E330" s="3" t="n">
        <f aca="false">E$8*E$10*(1-EXP(-2*$C330/SQRT(PI()*E$9*E$10)))</f>
        <v>0.000518203989668716</v>
      </c>
      <c r="F330" s="3" t="n">
        <f aca="false">F$8*F$10*(1-EXP(-2*$C330/SQRT(PI()*F$9*F$10)))</f>
        <v>0.0005070483572656</v>
      </c>
      <c r="G330" s="3" t="n">
        <f aca="false">G$8*G$10*(1-EXP(-2*$C330/SQRT(PI()*G$9*G$10)))</f>
        <v>0.000259101994834358</v>
      </c>
      <c r="H330" s="3" t="n">
        <f aca="false">H$8*H$10*(1-EXP(-2*$C330/SQRT(PI()*H$9*H$10)))</f>
        <v>5.21459038918073E-005</v>
      </c>
    </row>
    <row r="331" customFormat="false" ht="15.75" hidden="false" customHeight="false" outlineLevel="0" collapsed="false">
      <c r="C331" s="0" t="n">
        <v>31.9</v>
      </c>
      <c r="D331" s="3" t="n">
        <f aca="false">D$8*D$10*(1-EXP(-2*$C331/SQRT(PI()*D$9*D$10)))</f>
        <v>0.000521459254693919</v>
      </c>
      <c r="E331" s="3" t="n">
        <f aca="false">E$8*E$10*(1-EXP(-2*$C331/SQRT(PI()*E$9*E$10)))</f>
        <v>0.000518255617939718</v>
      </c>
      <c r="F331" s="3" t="n">
        <f aca="false">F$8*F$10*(1-EXP(-2*$C331/SQRT(PI()*F$9*F$10)))</f>
        <v>0.000507210119492162</v>
      </c>
      <c r="G331" s="3" t="n">
        <f aca="false">G$8*G$10*(1-EXP(-2*$C331/SQRT(PI()*G$9*G$10)))</f>
        <v>0.000259127808969859</v>
      </c>
      <c r="H331" s="3" t="n">
        <f aca="false">H$8*H$10*(1-EXP(-2*$C331/SQRT(PI()*H$9*H$10)))</f>
        <v>5.21459254693919E-005</v>
      </c>
    </row>
    <row r="332" customFormat="false" ht="15.75" hidden="false" customHeight="false" outlineLevel="0" collapsed="false">
      <c r="C332" s="0" t="n">
        <v>32</v>
      </c>
      <c r="D332" s="3" t="n">
        <f aca="false">D$8*D$10*(1-EXP(-2*$C332/SQRT(PI()*D$9*D$10)))</f>
        <v>0.000521459462906094</v>
      </c>
      <c r="E332" s="3" t="n">
        <f aca="false">E$8*E$10*(1-EXP(-2*$C332/SQRT(PI()*E$9*E$10)))</f>
        <v>0.000518306428881403</v>
      </c>
      <c r="F332" s="3" t="n">
        <f aca="false">F$8*F$10*(1-EXP(-2*$C332/SQRT(PI()*F$9*F$10)))</f>
        <v>0.000507370066686938</v>
      </c>
      <c r="G332" s="3" t="n">
        <f aca="false">G$8*G$10*(1-EXP(-2*$C332/SQRT(PI()*G$9*G$10)))</f>
        <v>0.000259153214440701</v>
      </c>
      <c r="H332" s="3" t="n">
        <f aca="false">H$8*H$10*(1-EXP(-2*$C332/SQRT(PI()*H$9*H$10)))</f>
        <v>5.21459462906094E-005</v>
      </c>
    </row>
    <row r="333" customFormat="false" ht="15.75" hidden="false" customHeight="false" outlineLevel="0" collapsed="false">
      <c r="C333" s="0" t="n">
        <v>32.1</v>
      </c>
      <c r="D333" s="3" t="n">
        <f aca="false">D$8*D$10*(1-EXP(-2*$C333/SQRT(PI()*D$9*D$10)))</f>
        <v>0.000521459663819732</v>
      </c>
      <c r="E333" s="3" t="n">
        <f aca="false">E$8*E$10*(1-EXP(-2*$C333/SQRT(PI()*E$9*E$10)))</f>
        <v>0.000518356435432943</v>
      </c>
      <c r="F333" s="3" t="n">
        <f aca="false">F$8*F$10*(1-EXP(-2*$C333/SQRT(PI()*F$9*F$10)))</f>
        <v>0.000507528219215252</v>
      </c>
      <c r="G333" s="3" t="n">
        <f aca="false">G$8*G$10*(1-EXP(-2*$C333/SQRT(PI()*G$9*G$10)))</f>
        <v>0.000259178217716472</v>
      </c>
      <c r="H333" s="3" t="n">
        <f aca="false">H$8*H$10*(1-EXP(-2*$C333/SQRT(PI()*H$9*H$10)))</f>
        <v>5.21459663819732E-005</v>
      </c>
    </row>
    <row r="334" customFormat="false" ht="15.75" hidden="false" customHeight="false" outlineLevel="0" collapsed="false">
      <c r="C334" s="0" t="n">
        <v>32.2</v>
      </c>
      <c r="D334" s="3" t="n">
        <f aca="false">D$8*D$10*(1-EXP(-2*$C334/SQRT(PI()*D$9*D$10)))</f>
        <v>0.000521459857690671</v>
      </c>
      <c r="E334" s="3" t="n">
        <f aca="false">E$8*E$10*(1-EXP(-2*$C334/SQRT(PI()*E$9*E$10)))</f>
        <v>0.000518405650328675</v>
      </c>
      <c r="F334" s="3" t="n">
        <f aca="false">F$8*F$10*(1-EXP(-2*$C334/SQRT(PI()*F$9*F$10)))</f>
        <v>0.000507684597213925</v>
      </c>
      <c r="G334" s="3" t="n">
        <f aca="false">G$8*G$10*(1-EXP(-2*$C334/SQRT(PI()*G$9*G$10)))</f>
        <v>0.000259202825164337</v>
      </c>
      <c r="H334" s="3" t="n">
        <f aca="false">H$8*H$10*(1-EXP(-2*$C334/SQRT(PI()*H$9*H$10)))</f>
        <v>5.21459857690671E-005</v>
      </c>
    </row>
    <row r="335" customFormat="false" ht="15.75" hidden="false" customHeight="false" outlineLevel="0" collapsed="false">
      <c r="C335" s="0" t="n">
        <v>32.3</v>
      </c>
      <c r="D335" s="3" t="n">
        <f aca="false">D$8*D$10*(1-EXP(-2*$C335/SQRT(PI()*D$9*D$10)))</f>
        <v>0.00052146004476578</v>
      </c>
      <c r="E335" s="3" t="n">
        <f aca="false">E$8*E$10*(1-EXP(-2*$C335/SQRT(PI()*E$9*E$10)))</f>
        <v>0.000518454086101333</v>
      </c>
      <c r="F335" s="3" t="n">
        <f aca="false">F$8*F$10*(1-EXP(-2*$C335/SQRT(PI()*F$9*F$10)))</f>
        <v>0.000507839220593832</v>
      </c>
      <c r="G335" s="3" t="n">
        <f aca="false">G$8*G$10*(1-EXP(-2*$C335/SQRT(PI()*G$9*G$10)))</f>
        <v>0.000259227043050666</v>
      </c>
      <c r="H335" s="3" t="n">
        <f aca="false">H$8*H$10*(1-EXP(-2*$C335/SQRT(PI()*H$9*H$10)))</f>
        <v>5.2146004476578E-005</v>
      </c>
    </row>
    <row r="336" customFormat="false" ht="15.75" hidden="false" customHeight="false" outlineLevel="0" collapsed="false">
      <c r="C336" s="0" t="n">
        <v>32.4</v>
      </c>
      <c r="D336" s="3" t="n">
        <f aca="false">D$8*D$10*(1-EXP(-2*$C336/SQRT(PI()*D$9*D$10)))</f>
        <v>0.000521460225283277</v>
      </c>
      <c r="E336" s="3" t="n">
        <f aca="false">E$8*E$10*(1-EXP(-2*$C336/SQRT(PI()*E$9*E$10)))</f>
        <v>0.000518501755085248</v>
      </c>
      <c r="F336" s="3" t="n">
        <f aca="false">F$8*F$10*(1-EXP(-2*$C336/SQRT(PI()*F$9*F$10)))</f>
        <v>0.000507992109042442</v>
      </c>
      <c r="G336" s="3" t="n">
        <f aca="false">G$8*G$10*(1-EXP(-2*$C336/SQRT(PI()*G$9*G$10)))</f>
        <v>0.000259250877542624</v>
      </c>
      <c r="H336" s="3" t="n">
        <f aca="false">H$8*H$10*(1-EXP(-2*$C336/SQRT(PI()*H$9*H$10)))</f>
        <v>5.21460225283276E-005</v>
      </c>
    </row>
    <row r="337" customFormat="false" ht="15.75" hidden="false" customHeight="false" outlineLevel="0" collapsed="false">
      <c r="C337" s="0" t="n">
        <v>32.5</v>
      </c>
      <c r="D337" s="3" t="n">
        <f aca="false">D$8*D$10*(1-EXP(-2*$C337/SQRT(PI()*D$9*D$10)))</f>
        <v>0.000521460399473027</v>
      </c>
      <c r="E337" s="3" t="n">
        <f aca="false">E$8*E$10*(1-EXP(-2*$C337/SQRT(PI()*E$9*E$10)))</f>
        <v>0.000518548669419484</v>
      </c>
      <c r="F337" s="3" t="n">
        <f aca="false">F$8*F$10*(1-EXP(-2*$C337/SQRT(PI()*F$9*F$10)))</f>
        <v>0.000508143282026325</v>
      </c>
      <c r="G337" s="3" t="n">
        <f aca="false">G$8*G$10*(1-EXP(-2*$C337/SQRT(PI()*G$9*G$10)))</f>
        <v>0.000259274334709742</v>
      </c>
      <c r="H337" s="3" t="n">
        <f aca="false">H$8*H$10*(1-EXP(-2*$C337/SQRT(PI()*H$9*H$10)))</f>
        <v>5.21460399473027E-005</v>
      </c>
    </row>
    <row r="338" customFormat="false" ht="15.75" hidden="false" customHeight="false" outlineLevel="0" collapsed="false">
      <c r="C338" s="0" t="n">
        <v>32.6</v>
      </c>
      <c r="D338" s="3" t="n">
        <f aca="false">D$8*D$10*(1-EXP(-2*$C338/SQRT(PI()*D$9*D$10)))</f>
        <v>0.00052146056755684</v>
      </c>
      <c r="E338" s="3" t="n">
        <f aca="false">E$8*E$10*(1-EXP(-2*$C338/SQRT(PI()*E$9*E$10)))</f>
        <v>0.000518594841050933</v>
      </c>
      <c r="F338" s="3" t="n">
        <f aca="false">F$8*F$10*(1-EXP(-2*$C338/SQRT(PI()*F$9*F$10)))</f>
        <v>0.000508292758793625</v>
      </c>
      <c r="G338" s="3" t="n">
        <f aca="false">G$8*G$10*(1-EXP(-2*$C338/SQRT(PI()*G$9*G$10)))</f>
        <v>0.000259297420525467</v>
      </c>
      <c r="H338" s="3" t="n">
        <f aca="false">H$8*H$10*(1-EXP(-2*$C338/SQRT(PI()*H$9*H$10)))</f>
        <v>5.2146056755684E-005</v>
      </c>
    </row>
    <row r="339" customFormat="false" ht="15.75" hidden="false" customHeight="false" outlineLevel="0" collapsed="false">
      <c r="C339" s="0" t="n">
        <v>32.7</v>
      </c>
      <c r="D339" s="3" t="n">
        <f aca="false">D$8*D$10*(1-EXP(-2*$C339/SQRT(PI()*D$9*D$10)))</f>
        <v>0.000521460729748749</v>
      </c>
      <c r="E339" s="3" t="n">
        <f aca="false">E$8*E$10*(1-EXP(-2*$C339/SQRT(PI()*E$9*E$10)))</f>
        <v>0.000518640281737353</v>
      </c>
      <c r="F339" s="3" t="n">
        <f aca="false">F$8*F$10*(1-EXP(-2*$C339/SQRT(PI()*F$9*F$10)))</f>
        <v>0.000508440558376519</v>
      </c>
      <c r="G339" s="3" t="n">
        <f aca="false">G$8*G$10*(1-EXP(-2*$C339/SQRT(PI()*G$9*G$10)))</f>
        <v>0.000259320140868676</v>
      </c>
      <c r="H339" s="3" t="n">
        <f aca="false">H$8*H$10*(1-EXP(-2*$C339/SQRT(PI()*H$9*H$10)))</f>
        <v>5.21460729748749E-005</v>
      </c>
    </row>
    <row r="340" customFormat="false" ht="15.75" hidden="false" customHeight="false" outlineLevel="0" collapsed="false">
      <c r="C340" s="0" t="n">
        <v>32.8</v>
      </c>
      <c r="D340" s="3" t="n">
        <f aca="false">D$8*D$10*(1-EXP(-2*$C340/SQRT(PI()*D$9*D$10)))</f>
        <v>0.000521460886255286</v>
      </c>
      <c r="E340" s="3" t="n">
        <f aca="false">E$8*E$10*(1-EXP(-2*$C340/SQRT(PI()*E$9*E$10)))</f>
        <v>0.000518685003050365</v>
      </c>
      <c r="F340" s="3" t="n">
        <f aca="false">F$8*F$10*(1-EXP(-2*$C340/SQRT(PI()*F$9*F$10)))</f>
        <v>0.000508586699593633</v>
      </c>
      <c r="G340" s="3" t="n">
        <f aca="false">G$8*G$10*(1-EXP(-2*$C340/SQRT(PI()*G$9*G$10)))</f>
        <v>0.000259342501525182</v>
      </c>
      <c r="H340" s="3" t="n">
        <f aca="false">H$8*H$10*(1-EXP(-2*$C340/SQRT(PI()*H$9*H$10)))</f>
        <v>5.21460886255286E-005</v>
      </c>
    </row>
    <row r="341" customFormat="false" ht="15.75" hidden="false" customHeight="false" outlineLevel="0" collapsed="false">
      <c r="C341" s="0" t="n">
        <v>32.9</v>
      </c>
      <c r="D341" s="3" t="n">
        <f aca="false">D$8*D$10*(1-EXP(-2*$C341/SQRT(PI()*D$9*D$10)))</f>
        <v>0.000521461037275742</v>
      </c>
      <c r="E341" s="3" t="n">
        <f aca="false">E$8*E$10*(1-EXP(-2*$C341/SQRT(PI()*E$9*E$10)))</f>
        <v>0.000518729016378399</v>
      </c>
      <c r="F341" s="3" t="n">
        <f aca="false">F$8*F$10*(1-EXP(-2*$C341/SQRT(PI()*F$9*F$10)))</f>
        <v>0.000508731201052443</v>
      </c>
      <c r="G341" s="3" t="n">
        <f aca="false">G$8*G$10*(1-EXP(-2*$C341/SQRT(PI()*G$9*G$10)))</f>
        <v>0.0002593645081892</v>
      </c>
      <c r="H341" s="3" t="n">
        <f aca="false">H$8*H$10*(1-EXP(-2*$C341/SQRT(PI()*H$9*H$10)))</f>
        <v>5.21461037275742E-005</v>
      </c>
    </row>
    <row r="342" customFormat="false" ht="15.75" hidden="false" customHeight="false" outlineLevel="0" collapsed="false">
      <c r="C342" s="0" t="n">
        <v>33</v>
      </c>
      <c r="D342" s="3" t="n">
        <f aca="false">D$8*D$10*(1-EXP(-2*$C342/SQRT(PI()*D$9*D$10)))</f>
        <v>0.000521461183002422</v>
      </c>
      <c r="E342" s="3" t="n">
        <f aca="false">E$8*E$10*(1-EXP(-2*$C342/SQRT(PI()*E$9*E$10)))</f>
        <v>0.000518772332929597</v>
      </c>
      <c r="F342" s="3" t="n">
        <f aca="false">F$8*F$10*(1-EXP(-2*$C342/SQRT(PI()*F$9*F$10)))</f>
        <v>0.00050887408115164</v>
      </c>
      <c r="G342" s="3" t="n">
        <f aca="false">G$8*G$10*(1-EXP(-2*$C342/SQRT(PI()*G$9*G$10)))</f>
        <v>0.000259386166464798</v>
      </c>
      <c r="H342" s="3" t="n">
        <f aca="false">H$8*H$10*(1-EXP(-2*$C342/SQRT(PI()*H$9*H$10)))</f>
        <v>5.21461183002422E-005</v>
      </c>
    </row>
    <row r="343" customFormat="false" ht="15.75" hidden="false" customHeight="false" outlineLevel="0" collapsed="false">
      <c r="C343" s="0" t="n">
        <v>33.1</v>
      </c>
      <c r="D343" s="3" t="n">
        <f aca="false">D$8*D$10*(1-EXP(-2*$C343/SQRT(PI()*D$9*D$10)))</f>
        <v>0.000521461323620891</v>
      </c>
      <c r="E343" s="3" t="n">
        <f aca="false">E$8*E$10*(1-EXP(-2*$C343/SQRT(PI()*E$9*E$10)))</f>
        <v>0.00051881496373466</v>
      </c>
      <c r="F343" s="3" t="n">
        <f aca="false">F$8*F$10*(1-EXP(-2*$C343/SQRT(PI()*F$9*F$10)))</f>
        <v>0.000509015358083478</v>
      </c>
      <c r="G343" s="3" t="n">
        <f aca="false">G$8*G$10*(1-EXP(-2*$C343/SQRT(PI()*G$9*G$10)))</f>
        <v>0.00025940748186733</v>
      </c>
      <c r="H343" s="3" t="n">
        <f aca="false">H$8*H$10*(1-EXP(-2*$C343/SQRT(PI()*H$9*H$10)))</f>
        <v>5.21461323620891E-005</v>
      </c>
    </row>
    <row r="344" customFormat="false" ht="15.75" hidden="false" customHeight="false" outlineLevel="0" collapsed="false">
      <c r="C344" s="0" t="n">
        <v>33.2</v>
      </c>
      <c r="D344" s="3" t="n">
        <f aca="false">D$8*D$10*(1-EXP(-2*$C344/SQRT(PI()*D$9*D$10)))</f>
        <v>0.000521461459310209</v>
      </c>
      <c r="E344" s="3" t="n">
        <f aca="false">E$8*E$10*(1-EXP(-2*$C344/SQRT(PI()*E$9*E$10)))</f>
        <v>0.000518856919649665</v>
      </c>
      <c r="F344" s="3" t="n">
        <f aca="false">F$8*F$10*(1-EXP(-2*$C344/SQRT(PI()*F$9*F$10)))</f>
        <v>0.000509155049836084</v>
      </c>
      <c r="G344" s="3" t="n">
        <f aca="false">G$8*G$10*(1-EXP(-2*$C344/SQRT(PI()*G$9*G$10)))</f>
        <v>0.000259428459824832</v>
      </c>
      <c r="H344" s="3" t="n">
        <f aca="false">H$8*H$10*(1-EXP(-2*$C344/SQRT(PI()*H$9*H$10)))</f>
        <v>5.21461459310209E-005</v>
      </c>
    </row>
    <row r="345" customFormat="false" ht="15.75" hidden="false" customHeight="false" outlineLevel="0" collapsed="false">
      <c r="C345" s="0" t="n">
        <v>33.3</v>
      </c>
      <c r="D345" s="3" t="n">
        <f aca="false">D$8*D$10*(1-EXP(-2*$C345/SQRT(PI()*D$9*D$10)))</f>
        <v>0.00052146159024316</v>
      </c>
      <c r="E345" s="3" t="n">
        <f aca="false">E$8*E$10*(1-EXP(-2*$C345/SQRT(PI()*E$9*E$10)))</f>
        <v>0.000518898211358824</v>
      </c>
      <c r="F345" s="3" t="n">
        <f aca="false">F$8*F$10*(1-EXP(-2*$C345/SQRT(PI()*F$9*F$10)))</f>
        <v>0.000509293174195753</v>
      </c>
      <c r="G345" s="3" t="n">
        <f aca="false">G$8*G$10*(1-EXP(-2*$C345/SQRT(PI()*G$9*G$10)))</f>
        <v>0.000259449105679412</v>
      </c>
      <c r="H345" s="3" t="n">
        <f aca="false">H$8*H$10*(1-EXP(-2*$C345/SQRT(PI()*H$9*H$10)))</f>
        <v>5.2146159024316E-005</v>
      </c>
    </row>
    <row r="346" customFormat="false" ht="15.75" hidden="false" customHeight="false" outlineLevel="0" collapsed="false">
      <c r="C346" s="0" t="n">
        <v>33.4</v>
      </c>
      <c r="D346" s="3" t="n">
        <f aca="false">D$8*D$10*(1-EXP(-2*$C346/SQRT(PI()*D$9*D$10)))</f>
        <v>0.00052146171658647</v>
      </c>
      <c r="E346" s="3" t="n">
        <f aca="false">E$8*E$10*(1-EXP(-2*$C346/SQRT(PI()*E$9*E$10)))</f>
        <v>0.000518938849377208</v>
      </c>
      <c r="F346" s="3" t="n">
        <f aca="false">F$8*F$10*(1-EXP(-2*$C346/SQRT(PI()*F$9*F$10)))</f>
        <v>0.000509429748749213</v>
      </c>
      <c r="G346" s="3" t="n">
        <f aca="false">G$8*G$10*(1-EXP(-2*$C346/SQRT(PI()*G$9*G$10)))</f>
        <v>0.000259469424688604</v>
      </c>
      <c r="H346" s="3" t="n">
        <f aca="false">H$8*H$10*(1-EXP(-2*$C346/SQRT(PI()*H$9*H$10)))</f>
        <v>5.2146171658647E-005</v>
      </c>
    </row>
    <row r="347" customFormat="false" ht="15.75" hidden="false" customHeight="false" outlineLevel="0" collapsed="false">
      <c r="C347" s="0" t="n">
        <v>33.5</v>
      </c>
      <c r="D347" s="3" t="n">
        <f aca="false">D$8*D$10*(1-EXP(-2*$C347/SQRT(PI()*D$9*D$10)))</f>
        <v>0.000521461838501021</v>
      </c>
      <c r="E347" s="3" t="n">
        <f aca="false">E$8*E$10*(1-EXP(-2*$C347/SQRT(PI()*E$9*E$10)))</f>
        <v>0.000518978844053424</v>
      </c>
      <c r="F347" s="3" t="n">
        <f aca="false">F$8*F$10*(1-EXP(-2*$C347/SQRT(PI()*F$9*F$10)))</f>
        <v>0.000509564790885859</v>
      </c>
      <c r="G347" s="3" t="n">
        <f aca="false">G$8*G$10*(1-EXP(-2*$C347/SQRT(PI()*G$9*G$10)))</f>
        <v>0.000259489422026712</v>
      </c>
      <c r="H347" s="3" t="n">
        <f aca="false">H$8*H$10*(1-EXP(-2*$C347/SQRT(PI()*H$9*H$10)))</f>
        <v>5.21461838501021E-005</v>
      </c>
    </row>
    <row r="348" customFormat="false" ht="15.75" hidden="false" customHeight="false" outlineLevel="0" collapsed="false">
      <c r="C348" s="0" t="n">
        <v>33.6</v>
      </c>
      <c r="D348" s="3" t="n">
        <f aca="false">D$8*D$10*(1-EXP(-2*$C348/SQRT(PI()*D$9*D$10)))</f>
        <v>0.000521461956142057</v>
      </c>
      <c r="E348" s="3" t="n">
        <f aca="false">E$8*E$10*(1-EXP(-2*$C348/SQRT(PI()*E$9*E$10)))</f>
        <v>0.000519018205572247</v>
      </c>
      <c r="F348" s="3" t="n">
        <f aca="false">F$8*F$10*(1-EXP(-2*$C348/SQRT(PI()*F$9*F$10)))</f>
        <v>0.000509698317799973</v>
      </c>
      <c r="G348" s="3" t="n">
        <f aca="false">G$8*G$10*(1-EXP(-2*$C348/SQRT(PI()*G$9*G$10)))</f>
        <v>0.000259509102786123</v>
      </c>
      <c r="H348" s="3" t="n">
        <f aca="false">H$8*H$10*(1-EXP(-2*$C348/SQRT(PI()*H$9*H$10)))</f>
        <v>5.21461956142057E-005</v>
      </c>
    </row>
    <row r="349" customFormat="false" ht="15.75" hidden="false" customHeight="false" outlineLevel="0" collapsed="false">
      <c r="C349" s="0" t="n">
        <v>33.7</v>
      </c>
      <c r="D349" s="3" t="n">
        <f aca="false">D$8*D$10*(1-EXP(-2*$C349/SQRT(PI()*D$9*D$10)))</f>
        <v>0.000521462069659379</v>
      </c>
      <c r="E349" s="3" t="n">
        <f aca="false">E$8*E$10*(1-EXP(-2*$C349/SQRT(PI()*E$9*E$10)))</f>
        <v>0.000519056943957218</v>
      </c>
      <c r="F349" s="3" t="n">
        <f aca="false">F$8*F$10*(1-EXP(-2*$C349/SQRT(PI()*F$9*F$10)))</f>
        <v>0.000509830346492911</v>
      </c>
      <c r="G349" s="3" t="n">
        <f aca="false">G$8*G$10*(1-EXP(-2*$C349/SQRT(PI()*G$9*G$10)))</f>
        <v>0.000259528471978609</v>
      </c>
      <c r="H349" s="3" t="n">
        <f aca="false">H$8*H$10*(1-EXP(-2*$C349/SQRT(PI()*H$9*H$10)))</f>
        <v>5.21462069659379E-005</v>
      </c>
    </row>
    <row r="350" customFormat="false" ht="15.75" hidden="false" customHeight="false" outlineLevel="0" collapsed="false">
      <c r="C350" s="0" t="n">
        <v>33.8</v>
      </c>
      <c r="D350" s="3" t="n">
        <f aca="false">D$8*D$10*(1-EXP(-2*$C350/SQRT(PI()*D$9*D$10)))</f>
        <v>0.000521462179197536</v>
      </c>
      <c r="E350" s="3" t="n">
        <f aca="false">E$8*E$10*(1-EXP(-2*$C350/SQRT(PI()*E$9*E$10)))</f>
        <v>0.000519095069073197</v>
      </c>
      <c r="F350" s="3" t="n">
        <f aca="false">F$8*F$10*(1-EXP(-2*$C350/SQRT(PI()*F$9*F$10)))</f>
        <v>0.000509960893775265</v>
      </c>
      <c r="G350" s="3" t="n">
        <f aca="false">G$8*G$10*(1-EXP(-2*$C350/SQRT(PI()*G$9*G$10)))</f>
        <v>0.000259547534536599</v>
      </c>
      <c r="H350" s="3" t="n">
        <f aca="false">H$8*H$10*(1-EXP(-2*$C350/SQRT(PI()*H$9*H$10)))</f>
        <v>5.21462179197536E-005</v>
      </c>
    </row>
    <row r="351" customFormat="false" ht="15.75" hidden="false" customHeight="false" outlineLevel="0" collapsed="false">
      <c r="C351" s="0" t="n">
        <v>33.9</v>
      </c>
      <c r="D351" s="3" t="n">
        <f aca="false">D$8*D$10*(1-EXP(-2*$C351/SQRT(PI()*D$9*D$10)))</f>
        <v>0.000521462284896011</v>
      </c>
      <c r="E351" s="3" t="n">
        <f aca="false">E$8*E$10*(1-EXP(-2*$C351/SQRT(PI()*E$9*E$10)))</f>
        <v>0.00051913259062887</v>
      </c>
      <c r="F351" s="3" t="n">
        <f aca="false">F$8*F$10*(1-EXP(-2*$C351/SQRT(PI()*F$9*F$10)))</f>
        <v>0.000510089976269008</v>
      </c>
      <c r="G351" s="3" t="n">
        <f aca="false">G$8*G$10*(1-EXP(-2*$C351/SQRT(PI()*G$9*G$10)))</f>
        <v>0.000259566295314435</v>
      </c>
      <c r="H351" s="3" t="n">
        <f aca="false">H$8*H$10*(1-EXP(-2*$C351/SQRT(PI()*H$9*H$10)))</f>
        <v>5.21462284896011E-005</v>
      </c>
    </row>
    <row r="352" customFormat="false" ht="15.75" hidden="false" customHeight="false" outlineLevel="0" collapsed="false">
      <c r="C352" s="0" t="n">
        <v>34</v>
      </c>
      <c r="D352" s="3" t="n">
        <f aca="false">D$8*D$10*(1-EXP(-2*$C352/SQRT(PI()*D$9*D$10)))</f>
        <v>0.0005214623868894</v>
      </c>
      <c r="E352" s="3" t="n">
        <f aca="false">E$8*E$10*(1-EXP(-2*$C352/SQRT(PI()*E$9*E$10)))</f>
        <v>0.000519169518179225</v>
      </c>
      <c r="F352" s="3" t="n">
        <f aca="false">F$8*F$10*(1-EXP(-2*$C352/SQRT(PI()*F$9*F$10)))</f>
        <v>0.000510217610409609</v>
      </c>
      <c r="G352" s="3" t="n">
        <f aca="false">G$8*G$10*(1-EXP(-2*$C352/SQRT(PI()*G$9*G$10)))</f>
        <v>0.000259584759089612</v>
      </c>
      <c r="H352" s="3" t="n">
        <f aca="false">H$8*H$10*(1-EXP(-2*$C352/SQRT(PI()*H$9*H$10)))</f>
        <v>5.214623868894E-005</v>
      </c>
    </row>
    <row r="353" customFormat="false" ht="15.75" hidden="false" customHeight="false" outlineLevel="0" collapsed="false">
      <c r="C353" s="0" t="n">
        <v>34.1</v>
      </c>
      <c r="D353" s="3" t="n">
        <f aca="false">D$8*D$10*(1-EXP(-2*$C353/SQRT(PI()*D$9*D$10)))</f>
        <v>0.000521462485307576</v>
      </c>
      <c r="E353" s="3" t="n">
        <f aca="false">E$8*E$10*(1-EXP(-2*$C353/SQRT(PI()*E$9*E$10)))</f>
        <v>0.000519205861127986</v>
      </c>
      <c r="F353" s="3" t="n">
        <f aca="false">F$8*F$10*(1-EXP(-2*$C353/SQRT(PI()*F$9*F$10)))</f>
        <v>0.000510343812448123</v>
      </c>
      <c r="G353" s="3" t="n">
        <f aca="false">G$8*G$10*(1-EXP(-2*$C353/SQRT(PI()*G$9*G$10)))</f>
        <v>0.000259602930563993</v>
      </c>
      <c r="H353" s="3" t="n">
        <f aca="false">H$8*H$10*(1-EXP(-2*$C353/SQRT(PI()*H$9*H$10)))</f>
        <v>5.21462485307576E-005</v>
      </c>
    </row>
    <row r="354" customFormat="false" ht="15.75" hidden="false" customHeight="false" outlineLevel="0" collapsed="false">
      <c r="C354" s="0" t="n">
        <v>34.2</v>
      </c>
      <c r="D354" s="3" t="n">
        <f aca="false">D$8*D$10*(1-EXP(-2*$C354/SQRT(PI()*D$9*D$10)))</f>
        <v>0.000521462580275864</v>
      </c>
      <c r="E354" s="3" t="n">
        <f aca="false">E$8*E$10*(1-EXP(-2*$C354/SQRT(PI()*E$9*E$10)))</f>
        <v>0.000519241628730004</v>
      </c>
      <c r="F354" s="3" t="n">
        <f aca="false">F$8*F$10*(1-EXP(-2*$C354/SQRT(PI()*F$9*F$10)))</f>
        <v>0.000510468598453263</v>
      </c>
      <c r="G354" s="3" t="n">
        <f aca="false">G$8*G$10*(1-EXP(-2*$C354/SQRT(PI()*G$9*G$10)))</f>
        <v>0.000259620814365002</v>
      </c>
      <c r="H354" s="3" t="n">
        <f aca="false">H$8*H$10*(1-EXP(-2*$C354/SQRT(PI()*H$9*H$10)))</f>
        <v>5.21462580275864E-005</v>
      </c>
    </row>
    <row r="355" customFormat="false" ht="15.75" hidden="false" customHeight="false" outlineLevel="0" collapsed="false">
      <c r="C355" s="0" t="n">
        <v>34.3</v>
      </c>
      <c r="D355" s="3" t="n">
        <f aca="false">D$8*D$10*(1-EXP(-2*$C355/SQRT(PI()*D$9*D$10)))</f>
        <v>0.000521462671915194</v>
      </c>
      <c r="E355" s="3" t="n">
        <f aca="false">E$8*E$10*(1-EXP(-2*$C355/SQRT(PI()*E$9*E$10)))</f>
        <v>0.000519276830093619</v>
      </c>
      <c r="F355" s="3" t="n">
        <f aca="false">F$8*F$10*(1-EXP(-2*$C355/SQRT(PI()*F$9*F$10)))</f>
        <v>0.000510591984313445</v>
      </c>
      <c r="G355" s="3" t="n">
        <f aca="false">G$8*G$10*(1-EXP(-2*$C355/SQRT(PI()*G$9*G$10)))</f>
        <v>0.000259638415046809</v>
      </c>
      <c r="H355" s="3" t="n">
        <f aca="false">H$8*H$10*(1-EXP(-2*$C355/SQRT(PI()*H$9*H$10)))</f>
        <v>5.21462671915194E-005</v>
      </c>
    </row>
    <row r="356" customFormat="false" ht="15.75" hidden="false" customHeight="false" outlineLevel="0" collapsed="false">
      <c r="C356" s="0" t="n">
        <v>34.4</v>
      </c>
      <c r="D356" s="3" t="n">
        <f aca="false">D$8*D$10*(1-EXP(-2*$C356/SQRT(PI()*D$9*D$10)))</f>
        <v>0.000521462760342256</v>
      </c>
      <c r="E356" s="3" t="n">
        <f aca="false">E$8*E$10*(1-EXP(-2*$C356/SQRT(PI()*E$9*E$10)))</f>
        <v>0.000519311474182973</v>
      </c>
      <c r="F356" s="3" t="n">
        <f aca="false">F$8*F$10*(1-EXP(-2*$C356/SQRT(PI()*F$9*F$10)))</f>
        <v>0.000510713985738813</v>
      </c>
      <c r="G356" s="3" t="n">
        <f aca="false">G$8*G$10*(1-EXP(-2*$C356/SQRT(PI()*G$9*G$10)))</f>
        <v>0.000259655737091487</v>
      </c>
      <c r="H356" s="3" t="n">
        <f aca="false">H$8*H$10*(1-EXP(-2*$C356/SQRT(PI()*H$9*H$10)))</f>
        <v>5.21462760342256E-005</v>
      </c>
    </row>
    <row r="357" customFormat="false" ht="15.75" hidden="false" customHeight="false" outlineLevel="0" collapsed="false">
      <c r="C357" s="0" t="n">
        <v>34.5</v>
      </c>
      <c r="D357" s="3" t="n">
        <f aca="false">D$8*D$10*(1-EXP(-2*$C357/SQRT(PI()*D$9*D$10)))</f>
        <v>0.000521462845669652</v>
      </c>
      <c r="E357" s="3" t="n">
        <f aca="false">E$8*E$10*(1-EXP(-2*$C357/SQRT(PI()*E$9*E$10)))</f>
        <v>0.0005193455698203</v>
      </c>
      <c r="F357" s="3" t="n">
        <f aca="false">F$8*F$10*(1-EXP(-2*$C357/SQRT(PI()*F$9*F$10)))</f>
        <v>0.000510834618263234</v>
      </c>
      <c r="G357" s="3" t="n">
        <f aca="false">G$8*G$10*(1-EXP(-2*$C357/SQRT(PI()*G$9*G$10)))</f>
        <v>0.00025967278491015</v>
      </c>
      <c r="H357" s="3" t="n">
        <f aca="false">H$8*H$10*(1-EXP(-2*$C357/SQRT(PI()*H$9*H$10)))</f>
        <v>5.21462845669652E-005</v>
      </c>
    </row>
    <row r="358" customFormat="false" ht="15.75" hidden="false" customHeight="false" outlineLevel="0" collapsed="false">
      <c r="C358" s="0" t="n">
        <v>34.6</v>
      </c>
      <c r="D358" s="3" t="n">
        <f aca="false">D$8*D$10*(1-EXP(-2*$C358/SQRT(PI()*D$9*D$10)))</f>
        <v>0.000521462928006036</v>
      </c>
      <c r="E358" s="3" t="n">
        <f aca="false">E$8*E$10*(1-EXP(-2*$C358/SQRT(PI()*E$9*E$10)))</f>
        <v>0.000519379125688166</v>
      </c>
      <c r="F358" s="3" t="n">
        <f aca="false">F$8*F$10*(1-EXP(-2*$C358/SQRT(PI()*F$9*F$10)))</f>
        <v>0.000510953897246282</v>
      </c>
      <c r="G358" s="3" t="n">
        <f aca="false">G$8*G$10*(1-EXP(-2*$C358/SQRT(PI()*G$9*G$10)))</f>
        <v>0.000259689562844083</v>
      </c>
      <c r="H358" s="3" t="n">
        <f aca="false">H$8*H$10*(1-EXP(-2*$C358/SQRT(PI()*H$9*H$10)))</f>
        <v>5.21462928006036E-005</v>
      </c>
    </row>
    <row r="359" customFormat="false" ht="15.75" hidden="false" customHeight="false" outlineLevel="0" collapsed="false">
      <c r="C359" s="0" t="n">
        <v>34.7</v>
      </c>
      <c r="D359" s="3" t="n">
        <f aca="false">D$8*D$10*(1-EXP(-2*$C359/SQRT(PI()*D$9*D$10)))</f>
        <v>0.000521463007456252</v>
      </c>
      <c r="E359" s="3" t="n">
        <f aca="false">E$8*E$10*(1-EXP(-2*$C359/SQRT(PI()*E$9*E$10)))</f>
        <v>0.000519412150331684</v>
      </c>
      <c r="F359" s="3" t="n">
        <f aca="false">F$8*F$10*(1-EXP(-2*$C359/SQRT(PI()*F$9*F$10)))</f>
        <v>0.000511071837875189</v>
      </c>
      <c r="G359" s="3" t="n">
        <f aca="false">G$8*G$10*(1-EXP(-2*$C359/SQRT(PI()*G$9*G$10)))</f>
        <v>0.000259706075165842</v>
      </c>
      <c r="H359" s="3" t="n">
        <f aca="false">H$8*H$10*(1-EXP(-2*$C359/SQRT(PI()*H$9*H$10)))</f>
        <v>5.21463007456252E-005</v>
      </c>
    </row>
    <row r="360" customFormat="false" ht="15.75" hidden="false" customHeight="false" outlineLevel="0" collapsed="false">
      <c r="C360" s="0" t="n">
        <v>34.8</v>
      </c>
      <c r="D360" s="3" t="n">
        <f aca="false">D$8*D$10*(1-EXP(-2*$C360/SQRT(PI()*D$9*D$10)))</f>
        <v>0.000521463084121471</v>
      </c>
      <c r="E360" s="3" t="n">
        <f aca="false">E$8*E$10*(1-EXP(-2*$C360/SQRT(PI()*E$9*E$10)))</f>
        <v>0.000519444652160689</v>
      </c>
      <c r="F360" s="3" t="n">
        <f aca="false">F$8*F$10*(1-EXP(-2*$C360/SQRT(PI()*F$9*F$10)))</f>
        <v>0.000511188455166783</v>
      </c>
      <c r="G360" s="3" t="n">
        <f aca="false">G$8*G$10*(1-EXP(-2*$C360/SQRT(PI()*G$9*G$10)))</f>
        <v>0.000259722326080345</v>
      </c>
      <c r="H360" s="3" t="n">
        <f aca="false">H$8*H$10*(1-EXP(-2*$C360/SQRT(PI()*H$9*H$10)))</f>
        <v>5.21463084121471E-005</v>
      </c>
    </row>
    <row r="361" customFormat="false" ht="15.75" hidden="false" customHeight="false" outlineLevel="0" collapsed="false">
      <c r="C361" s="0" t="n">
        <v>34.9</v>
      </c>
      <c r="D361" s="3" t="n">
        <f aca="false">D$8*D$10*(1-EXP(-2*$C361/SQRT(PI()*D$9*D$10)))</f>
        <v>0.000521463158099315</v>
      </c>
      <c r="E361" s="3" t="n">
        <f aca="false">E$8*E$10*(1-EXP(-2*$C361/SQRT(PI()*E$9*E$10)))</f>
        <v>0.000519476639451879</v>
      </c>
      <c r="F361" s="3" t="n">
        <f aca="false">F$8*F$10*(1-EXP(-2*$C361/SQRT(PI()*F$9*F$10)))</f>
        <v>0.000511303763969395</v>
      </c>
      <c r="G361" s="3" t="n">
        <f aca="false">G$8*G$10*(1-EXP(-2*$C361/SQRT(PI()*G$9*G$10)))</f>
        <v>0.00025973831972594</v>
      </c>
      <c r="H361" s="3" t="n">
        <f aca="false">H$8*H$10*(1-EXP(-2*$C361/SQRT(PI()*H$9*H$10)))</f>
        <v>5.21463158099315E-005</v>
      </c>
    </row>
    <row r="362" customFormat="false" ht="15.75" hidden="false" customHeight="false" outlineLevel="0" collapsed="false">
      <c r="C362" s="0" t="n">
        <v>35</v>
      </c>
      <c r="D362" s="3" t="n">
        <f aca="false">D$8*D$10*(1-EXP(-2*$C362/SQRT(PI()*D$9*D$10)))</f>
        <v>0.000521463229483987</v>
      </c>
      <c r="E362" s="3" t="n">
        <f aca="false">E$8*E$10*(1-EXP(-2*$C362/SQRT(PI()*E$9*E$10)))</f>
        <v>0.000519508120350925</v>
      </c>
      <c r="F362" s="3" t="n">
        <f aca="false">F$8*F$10*(1-EXP(-2*$C362/SQRT(PI()*F$9*F$10)))</f>
        <v>0.000511417778964753</v>
      </c>
      <c r="G362" s="3" t="n">
        <f aca="false">G$8*G$10*(1-EXP(-2*$C362/SQRT(PI()*G$9*G$10)))</f>
        <v>0.000259754060175462</v>
      </c>
      <c r="H362" s="3" t="n">
        <f aca="false">H$8*H$10*(1-EXP(-2*$C362/SQRT(PI()*H$9*H$10)))</f>
        <v>5.21463229483987E-005</v>
      </c>
    </row>
    <row r="363" customFormat="false" ht="15.75" hidden="false" customHeight="false" outlineLevel="0" collapsed="false">
      <c r="C363" s="0" t="n">
        <v>35.1</v>
      </c>
      <c r="D363" s="3" t="n">
        <f aca="false">D$8*D$10*(1-EXP(-2*$C363/SQRT(PI()*D$9*D$10)))</f>
        <v>0.000521463298366386</v>
      </c>
      <c r="E363" s="3" t="n">
        <f aca="false">E$8*E$10*(1-EXP(-2*$C363/SQRT(PI()*E$9*E$10)))</f>
        <v>0.00051953910287454</v>
      </c>
      <c r="F363" s="3" t="n">
        <f aca="false">F$8*F$10*(1-EXP(-2*$C363/SQRT(PI()*F$9*F$10)))</f>
        <v>0.000511530514669853</v>
      </c>
      <c r="G363" s="3" t="n">
        <f aca="false">G$8*G$10*(1-EXP(-2*$C363/SQRT(PI()*G$9*G$10)))</f>
        <v>0.00025976955143727</v>
      </c>
      <c r="H363" s="3" t="n">
        <f aca="false">H$8*H$10*(1-EXP(-2*$C363/SQRT(PI()*H$9*H$10)))</f>
        <v>5.21463298366386E-005</v>
      </c>
    </row>
    <row r="364" customFormat="false" ht="15.75" hidden="false" customHeight="false" outlineLevel="0" collapsed="false">
      <c r="C364" s="0" t="n">
        <v>35.2</v>
      </c>
      <c r="D364" s="3" t="n">
        <f aca="false">D$8*D$10*(1-EXP(-2*$C364/SQRT(PI()*D$9*D$10)))</f>
        <v>0.000521463364834225</v>
      </c>
      <c r="E364" s="3" t="n">
        <f aca="false">E$8*E$10*(1-EXP(-2*$C364/SQRT(PI()*E$9*E$10)))</f>
        <v>0.000519569594912528</v>
      </c>
      <c r="F364" s="3" t="n">
        <f aca="false">F$8*F$10*(1-EXP(-2*$C364/SQRT(PI()*F$9*F$10)))</f>
        <v>0.000511641985438802</v>
      </c>
      <c r="G364" s="3" t="n">
        <f aca="false">G$8*G$10*(1-EXP(-2*$C364/SQRT(PI()*G$9*G$10)))</f>
        <v>0.000259784797456264</v>
      </c>
      <c r="H364" s="3" t="n">
        <f aca="false">H$8*H$10*(1-EXP(-2*$C364/SQRT(PI()*H$9*H$10)))</f>
        <v>5.21463364834225E-005</v>
      </c>
    </row>
    <row r="365" customFormat="false" ht="15.75" hidden="false" customHeight="false" outlineLevel="0" collapsed="false">
      <c r="C365" s="0" t="n">
        <v>35.3</v>
      </c>
      <c r="D365" s="3" t="n">
        <f aca="false">D$8*D$10*(1-EXP(-2*$C365/SQRT(PI()*D$9*D$10)))</f>
        <v>0.000521463428972142</v>
      </c>
      <c r="E365" s="3" t="n">
        <f aca="false">E$8*E$10*(1-EXP(-2*$C365/SQRT(PI()*E$9*E$10)))</f>
        <v>0.000519599604229787</v>
      </c>
      <c r="F365" s="3" t="n">
        <f aca="false">F$8*F$10*(1-EXP(-2*$C365/SQRT(PI()*F$9*F$10)))</f>
        <v>0.00051175220546465</v>
      </c>
      <c r="G365" s="3" t="n">
        <f aca="false">G$8*G$10*(1-EXP(-2*$C365/SQRT(PI()*G$9*G$10)))</f>
        <v>0.000259799802114894</v>
      </c>
      <c r="H365" s="3" t="n">
        <f aca="false">H$8*H$10*(1-EXP(-2*$C365/SQRT(PI()*H$9*H$10)))</f>
        <v>5.21463428972142E-005</v>
      </c>
    </row>
    <row r="366" customFormat="false" ht="15.75" hidden="false" customHeight="false" outlineLevel="0" collapsed="false">
      <c r="C366" s="0" t="n">
        <v>35.4</v>
      </c>
      <c r="D366" s="3" t="n">
        <f aca="false">D$8*D$10*(1-EXP(-2*$C366/SQRT(PI()*D$9*D$10)))</f>
        <v>0.000521463490861809</v>
      </c>
      <c r="E366" s="3" t="n">
        <f aca="false">E$8*E$10*(1-EXP(-2*$C366/SQRT(PI()*E$9*E$10)))</f>
        <v>0.000519629138468289</v>
      </c>
      <c r="F366" s="3" t="n">
        <f aca="false">F$8*F$10*(1-EXP(-2*$C366/SQRT(PI()*F$9*F$10)))</f>
        <v>0.000511861188781195</v>
      </c>
      <c r="G366" s="3" t="n">
        <f aca="false">G$8*G$10*(1-EXP(-2*$C366/SQRT(PI()*G$9*G$10)))</f>
        <v>0.000259814569234145</v>
      </c>
      <c r="H366" s="3" t="n">
        <f aca="false">H$8*H$10*(1-EXP(-2*$C366/SQRT(PI()*H$9*H$10)))</f>
        <v>5.21463490861809E-005</v>
      </c>
    </row>
    <row r="367" customFormat="false" ht="15.75" hidden="false" customHeight="false" outlineLevel="0" collapsed="false">
      <c r="C367" s="0" t="n">
        <v>35.5</v>
      </c>
      <c r="D367" s="3" t="n">
        <f aca="false">D$8*D$10*(1-EXP(-2*$C367/SQRT(PI()*D$9*D$10)))</f>
        <v>0.000521463550582035</v>
      </c>
      <c r="E367" s="3" t="n">
        <f aca="false">E$8*E$10*(1-EXP(-2*$C367/SQRT(PI()*E$9*E$10)))</f>
        <v>0.000519658205149026</v>
      </c>
      <c r="F367" s="3" t="n">
        <f aca="false">F$8*F$10*(1-EXP(-2*$C367/SQRT(PI()*F$9*F$10)))</f>
        <v>0.000511968949264772</v>
      </c>
      <c r="G367" s="3" t="n">
        <f aca="false">G$8*G$10*(1-EXP(-2*$C367/SQRT(PI()*G$9*G$10)))</f>
        <v>0.000259829102574513</v>
      </c>
      <c r="H367" s="3" t="n">
        <f aca="false">H$8*H$10*(1-EXP(-2*$C367/SQRT(PI()*H$9*H$10)))</f>
        <v>5.21463550582035E-005</v>
      </c>
    </row>
    <row r="368" customFormat="false" ht="15.75" hidden="false" customHeight="false" outlineLevel="0" collapsed="false">
      <c r="C368" s="0" t="n">
        <v>35.6</v>
      </c>
      <c r="D368" s="3" t="n">
        <f aca="false">D$8*D$10*(1-EXP(-2*$C368/SQRT(PI()*D$9*D$10)))</f>
        <v>0.000521463608208865</v>
      </c>
      <c r="E368" s="3" t="n">
        <f aca="false">E$8*E$10*(1-EXP(-2*$C368/SQRT(PI()*E$9*E$10)))</f>
        <v>0.000519686811673924</v>
      </c>
      <c r="F368" s="3" t="n">
        <f aca="false">F$8*F$10*(1-EXP(-2*$C368/SQRT(PI()*F$9*F$10)))</f>
        <v>0.000512075500636016</v>
      </c>
      <c r="G368" s="3" t="n">
        <f aca="false">G$8*G$10*(1-EXP(-2*$C368/SQRT(PI()*G$9*G$10)))</f>
        <v>0.000259843405836962</v>
      </c>
      <c r="H368" s="3" t="n">
        <f aca="false">H$8*H$10*(1-EXP(-2*$C368/SQRT(PI()*H$9*H$10)))</f>
        <v>5.21463608208865E-005</v>
      </c>
    </row>
    <row r="369" customFormat="false" ht="15.75" hidden="false" customHeight="false" outlineLevel="0" collapsed="false">
      <c r="C369" s="0" t="n">
        <v>35.7</v>
      </c>
      <c r="D369" s="3" t="n">
        <f aca="false">D$8*D$10*(1-EXP(-2*$C369/SQRT(PI()*D$9*D$10)))</f>
        <v>0.000521463663815682</v>
      </c>
      <c r="E369" s="3" t="n">
        <f aca="false">E$8*E$10*(1-EXP(-2*$C369/SQRT(PI()*E$9*E$10)))</f>
        <v>0.00051971496532773</v>
      </c>
      <c r="F369" s="3" t="n">
        <f aca="false">F$8*F$10*(1-EXP(-2*$C369/SQRT(PI()*F$9*F$10)))</f>
        <v>0.000512180856461614</v>
      </c>
      <c r="G369" s="3" t="n">
        <f aca="false">G$8*G$10*(1-EXP(-2*$C369/SQRT(PI()*G$9*G$10)))</f>
        <v>0.000259857482663865</v>
      </c>
      <c r="H369" s="3" t="n">
        <f aca="false">H$8*H$10*(1-EXP(-2*$C369/SQRT(PI()*H$9*H$10)))</f>
        <v>5.21463663815682E-005</v>
      </c>
    </row>
    <row r="370" customFormat="false" ht="15.75" hidden="false" customHeight="false" outlineLevel="0" collapsed="false">
      <c r="C370" s="0" t="n">
        <v>35.8</v>
      </c>
      <c r="D370" s="3" t="n">
        <f aca="false">D$8*D$10*(1-EXP(-2*$C370/SQRT(PI()*D$9*D$10)))</f>
        <v>0.000521463717473292</v>
      </c>
      <c r="E370" s="3" t="n">
        <f aca="false">E$8*E$10*(1-EXP(-2*$C370/SQRT(PI()*E$9*E$10)))</f>
        <v>0.000519742673279865</v>
      </c>
      <c r="F370" s="3" t="n">
        <f aca="false">F$8*F$10*(1-EXP(-2*$C370/SQRT(PI()*F$9*F$10)))</f>
        <v>0.000512285030156029</v>
      </c>
      <c r="G370" s="3" t="n">
        <f aca="false">G$8*G$10*(1-EXP(-2*$C370/SQRT(PI()*G$9*G$10)))</f>
        <v>0.000259871336639932</v>
      </c>
      <c r="H370" s="3" t="n">
        <f aca="false">H$8*H$10*(1-EXP(-2*$C370/SQRT(PI()*H$9*H$10)))</f>
        <v>5.21463717473292E-005</v>
      </c>
    </row>
    <row r="371" customFormat="false" ht="15.75" hidden="false" customHeight="false" outlineLevel="0" collapsed="false">
      <c r="C371" s="0" t="n">
        <v>35.9</v>
      </c>
      <c r="D371" s="3" t="n">
        <f aca="false">D$8*D$10*(1-EXP(-2*$C371/SQRT(PI()*D$9*D$10)))</f>
        <v>0.000521463769250022</v>
      </c>
      <c r="E371" s="3" t="n">
        <f aca="false">E$8*E$10*(1-EXP(-2*$C371/SQRT(PI()*E$9*E$10)))</f>
        <v>0.00051976994258625</v>
      </c>
      <c r="F371" s="3" t="n">
        <f aca="false">F$8*F$10*(1-EXP(-2*$C371/SQRT(PI()*F$9*F$10)))</f>
        <v>0.000512388034983207</v>
      </c>
      <c r="G371" s="3" t="n">
        <f aca="false">G$8*G$10*(1-EXP(-2*$C371/SQRT(PI()*G$9*G$10)))</f>
        <v>0.000259884971293125</v>
      </c>
      <c r="H371" s="3" t="n">
        <f aca="false">H$8*H$10*(1-EXP(-2*$C371/SQRT(PI()*H$9*H$10)))</f>
        <v>5.21463769250022E-005</v>
      </c>
    </row>
    <row r="372" customFormat="false" ht="15.75" hidden="false" customHeight="false" outlineLevel="0" collapsed="false">
      <c r="C372" s="0" t="n">
        <v>36</v>
      </c>
      <c r="D372" s="3" t="n">
        <f aca="false">D$8*D$10*(1-EXP(-2*$C372/SQRT(PI()*D$9*D$10)))</f>
        <v>0.000521463819211804</v>
      </c>
      <c r="E372" s="3" t="n">
        <f aca="false">E$8*E$10*(1-EXP(-2*$C372/SQRT(PI()*E$9*E$10)))</f>
        <v>0.000519796780191105</v>
      </c>
      <c r="F372" s="3" t="n">
        <f aca="false">F$8*F$10*(1-EXP(-2*$C372/SQRT(PI()*F$9*F$10)))</f>
        <v>0.000512489884058271</v>
      </c>
      <c r="G372" s="3" t="n">
        <f aca="false">G$8*G$10*(1-EXP(-2*$C372/SQRT(PI()*G$9*G$10)))</f>
        <v>0.000259898390095553</v>
      </c>
      <c r="H372" s="3" t="n">
        <f aca="false">H$8*H$10*(1-EXP(-2*$C372/SQRT(PI()*H$9*H$10)))</f>
        <v>5.21463819211804E-005</v>
      </c>
    </row>
    <row r="373" customFormat="false" ht="15.75" hidden="false" customHeight="false" outlineLevel="0" collapsed="false">
      <c r="C373" s="0" t="n">
        <v>36.1</v>
      </c>
      <c r="D373" s="3" t="n">
        <f aca="false">D$8*D$10*(1-EXP(-2*$C373/SQRT(PI()*D$9*D$10)))</f>
        <v>0.000521463867422257</v>
      </c>
      <c r="E373" s="3" t="n">
        <f aca="false">E$8*E$10*(1-EXP(-2*$C373/SQRT(PI()*E$9*E$10)))</f>
        <v>0.000519823192928715</v>
      </c>
      <c r="F373" s="3" t="n">
        <f aca="false">F$8*F$10*(1-EXP(-2*$C373/SQRT(PI()*F$9*F$10)))</f>
        <v>0.000512590590349183</v>
      </c>
      <c r="G373" s="3" t="n">
        <f aca="false">G$8*G$10*(1-EXP(-2*$C373/SQRT(PI()*G$9*G$10)))</f>
        <v>0.000259911596464358</v>
      </c>
      <c r="H373" s="3" t="n">
        <f aca="false">H$8*H$10*(1-EXP(-2*$C373/SQRT(PI()*H$9*H$10)))</f>
        <v>5.21463867422257E-005</v>
      </c>
    </row>
    <row r="374" customFormat="false" ht="15.75" hidden="false" customHeight="false" outlineLevel="0" collapsed="false">
      <c r="C374" s="0" t="n">
        <v>36.2</v>
      </c>
      <c r="D374" s="3" t="n">
        <f aca="false">D$8*D$10*(1-EXP(-2*$C374/SQRT(PI()*D$9*D$10)))</f>
        <v>0.000521463913942771</v>
      </c>
      <c r="E374" s="3" t="n">
        <f aca="false">E$8*E$10*(1-EXP(-2*$C374/SQRT(PI()*E$9*E$10)))</f>
        <v>0.000519849187525171</v>
      </c>
      <c r="F374" s="3" t="n">
        <f aca="false">F$8*F$10*(1-EXP(-2*$C374/SQRT(PI()*F$9*F$10)))</f>
        <v>0.000512690166678405</v>
      </c>
      <c r="G374" s="3" t="n">
        <f aca="false">G$8*G$10*(1-EXP(-2*$C374/SQRT(PI()*G$9*G$10)))</f>
        <v>0.000259924593762585</v>
      </c>
      <c r="H374" s="3" t="n">
        <f aca="false">H$8*H$10*(1-EXP(-2*$C374/SQRT(PI()*H$9*H$10)))</f>
        <v>5.21463913942771E-005</v>
      </c>
    </row>
    <row r="375" customFormat="false" ht="15.75" hidden="false" customHeight="false" outlineLevel="0" collapsed="false">
      <c r="C375" s="0" t="n">
        <v>36.3</v>
      </c>
      <c r="D375" s="3" t="n">
        <f aca="false">D$8*D$10*(1-EXP(-2*$C375/SQRT(PI()*D$9*D$10)))</f>
        <v>0.000521463958832584</v>
      </c>
      <c r="E375" s="3" t="n">
        <f aca="false">E$8*E$10*(1-EXP(-2*$C375/SQRT(PI()*E$9*E$10)))</f>
        <v>0.000519874770600083</v>
      </c>
      <c r="F375" s="3" t="n">
        <f aca="false">F$8*F$10*(1-EXP(-2*$C375/SQRT(PI()*F$9*F$10)))</f>
        <v>0.000512788625724522</v>
      </c>
      <c r="G375" s="3" t="n">
        <f aca="false">G$8*G$10*(1-EXP(-2*$C375/SQRT(PI()*G$9*G$10)))</f>
        <v>0.000259937385300042</v>
      </c>
      <c r="H375" s="3" t="n">
        <f aca="false">H$8*H$10*(1-EXP(-2*$C375/SQRT(PI()*H$9*H$10)))</f>
        <v>5.21463958832584E-005</v>
      </c>
    </row>
    <row r="376" customFormat="false" ht="15.75" hidden="false" customHeight="false" outlineLevel="0" collapsed="false">
      <c r="C376" s="0" t="n">
        <v>36.4</v>
      </c>
      <c r="D376" s="3" t="n">
        <f aca="false">D$8*D$10*(1-EXP(-2*$C376/SQRT(PI()*D$9*D$10)))</f>
        <v>0.000521464002148858</v>
      </c>
      <c r="E376" s="3" t="n">
        <f aca="false">E$8*E$10*(1-EXP(-2*$C376/SQRT(PI()*E$9*E$10)))</f>
        <v>0.000519899948668266</v>
      </c>
      <c r="F376" s="3" t="n">
        <f aca="false">F$8*F$10*(1-EXP(-2*$C376/SQRT(PI()*F$9*F$10)))</f>
        <v>0.000512885980023862</v>
      </c>
      <c r="G376" s="3" t="n">
        <f aca="false">G$8*G$10*(1-EXP(-2*$C376/SQRT(PI()*G$9*G$10)))</f>
        <v>0.000259949974334133</v>
      </c>
      <c r="H376" s="3" t="n">
        <f aca="false">H$8*H$10*(1-EXP(-2*$C376/SQRT(PI()*H$9*H$10)))</f>
        <v>5.21464002148858E-005</v>
      </c>
    </row>
    <row r="377" customFormat="false" ht="15.75" hidden="false" customHeight="false" outlineLevel="0" collapsed="false">
      <c r="C377" s="0" t="n">
        <v>36.5</v>
      </c>
      <c r="D377" s="3" t="n">
        <f aca="false">D$8*D$10*(1-EXP(-2*$C377/SQRT(PI()*D$9*D$10)))</f>
        <v>0.000521464043946751</v>
      </c>
      <c r="E377" s="3" t="n">
        <f aca="false">E$8*E$10*(1-EXP(-2*$C377/SQRT(PI()*E$9*E$10)))</f>
        <v>0.000519924728141398</v>
      </c>
      <c r="F377" s="3" t="n">
        <f aca="false">F$8*F$10*(1-EXP(-2*$C377/SQRT(PI()*F$9*F$10)))</f>
        <v>0.000512982241972092</v>
      </c>
      <c r="G377" s="3" t="n">
        <f aca="false">G$8*G$10*(1-EXP(-2*$C377/SQRT(PI()*G$9*G$10)))</f>
        <v>0.000259962364070699</v>
      </c>
      <c r="H377" s="3" t="n">
        <f aca="false">H$8*H$10*(1-EXP(-2*$C377/SQRT(PI()*H$9*H$10)))</f>
        <v>5.21464043946751E-005</v>
      </c>
    </row>
    <row r="378" customFormat="false" ht="15.75" hidden="false" customHeight="false" outlineLevel="0" collapsed="false">
      <c r="C378" s="0" t="n">
        <v>36.6</v>
      </c>
      <c r="D378" s="3" t="n">
        <f aca="false">D$8*D$10*(1-EXP(-2*$C378/SQRT(PI()*D$9*D$10)))</f>
        <v>0.000521464084279488</v>
      </c>
      <c r="E378" s="3" t="n">
        <f aca="false">E$8*E$10*(1-EXP(-2*$C378/SQRT(PI()*E$9*E$10)))</f>
        <v>0.000519949115329654</v>
      </c>
      <c r="F378" s="3" t="n">
        <f aca="false">F$8*F$10*(1-EXP(-2*$C378/SQRT(PI()*F$9*F$10)))</f>
        <v>0.000513077423825793</v>
      </c>
      <c r="G378" s="3" t="n">
        <f aca="false">G$8*G$10*(1-EXP(-2*$C378/SQRT(PI()*G$9*G$10)))</f>
        <v>0.000259974557664827</v>
      </c>
      <c r="H378" s="3" t="n">
        <f aca="false">H$8*H$10*(1-EXP(-2*$C378/SQRT(PI()*H$9*H$10)))</f>
        <v>5.21464084279488E-005</v>
      </c>
    </row>
    <row r="379" customFormat="false" ht="15.75" hidden="false" customHeight="false" outlineLevel="0" collapsed="false">
      <c r="C379" s="0" t="n">
        <v>36.7</v>
      </c>
      <c r="D379" s="3" t="n">
        <f aca="false">D$8*D$10*(1-EXP(-2*$C379/SQRT(PI()*D$9*D$10)))</f>
        <v>0.000521464123198425</v>
      </c>
      <c r="E379" s="3" t="n">
        <f aca="false">E$8*E$10*(1-EXP(-2*$C379/SQRT(PI()*E$9*E$10)))</f>
        <v>0.000519973116443313</v>
      </c>
      <c r="F379" s="3" t="n">
        <f aca="false">F$8*F$10*(1-EXP(-2*$C379/SQRT(PI()*F$9*F$10)))</f>
        <v>0.000513171537704024</v>
      </c>
      <c r="G379" s="3" t="n">
        <f aca="false">G$8*G$10*(1-EXP(-2*$C379/SQRT(PI()*G$9*G$10)))</f>
        <v>0.000259986558221656</v>
      </c>
      <c r="H379" s="3" t="n">
        <f aca="false">H$8*H$10*(1-EXP(-2*$C379/SQRT(PI()*H$9*H$10)))</f>
        <v>5.21464123198425E-005</v>
      </c>
    </row>
    <row r="380" customFormat="false" ht="15.75" hidden="false" customHeight="false" outlineLevel="0" collapsed="false">
      <c r="C380" s="0" t="n">
        <v>36.8</v>
      </c>
      <c r="D380" s="3" t="n">
        <f aca="false">D$8*D$10*(1-EXP(-2*$C380/SQRT(PI()*D$9*D$10)))</f>
        <v>0.000521464160753123</v>
      </c>
      <c r="E380" s="3" t="n">
        <f aca="false">E$8*E$10*(1-EXP(-2*$C380/SQRT(PI()*E$9*E$10)))</f>
        <v>0.000519996737594337</v>
      </c>
      <c r="F380" s="3" t="n">
        <f aca="false">F$8*F$10*(1-EXP(-2*$C380/SQRT(PI()*F$9*F$10)))</f>
        <v>0.000513264595589863</v>
      </c>
      <c r="G380" s="3" t="n">
        <f aca="false">G$8*G$10*(1-EXP(-2*$C380/SQRT(PI()*G$9*G$10)))</f>
        <v>0.000259998368797169</v>
      </c>
      <c r="H380" s="3" t="n">
        <f aca="false">H$8*H$10*(1-EXP(-2*$C380/SQRT(PI()*H$9*H$10)))</f>
        <v>5.21464160753123E-005</v>
      </c>
    </row>
    <row r="381" customFormat="false" ht="15.75" hidden="false" customHeight="false" outlineLevel="0" collapsed="false">
      <c r="C381" s="0" t="n">
        <v>36.9</v>
      </c>
      <c r="D381" s="3" t="n">
        <f aca="false">D$8*D$10*(1-EXP(-2*$C381/SQRT(PI()*D$9*D$10)))</f>
        <v>0.000521464196991403</v>
      </c>
      <c r="E381" s="3" t="n">
        <f aca="false">E$8*E$10*(1-EXP(-2*$C381/SQRT(PI()*E$9*E$10)))</f>
        <v>0.000520019984797932</v>
      </c>
      <c r="F381" s="3" t="n">
        <f aca="false">F$8*F$10*(1-EXP(-2*$C381/SQRT(PI()*F$9*F$10)))</f>
        <v>0.000513356609331934</v>
      </c>
      <c r="G381" s="3" t="n">
        <f aca="false">G$8*G$10*(1-EXP(-2*$C381/SQRT(PI()*G$9*G$10)))</f>
        <v>0.000260009992398966</v>
      </c>
      <c r="H381" s="3" t="n">
        <f aca="false">H$8*H$10*(1-EXP(-2*$C381/SQRT(PI()*H$9*H$10)))</f>
        <v>5.21464196991403E-005</v>
      </c>
    </row>
    <row r="382" customFormat="false" ht="15.75" hidden="false" customHeight="false" outlineLevel="0" collapsed="false">
      <c r="C382" s="0" t="n">
        <v>37</v>
      </c>
      <c r="D382" s="3" t="n">
        <f aca="false">D$8*D$10*(1-EXP(-2*$C382/SQRT(PI()*D$9*D$10)))</f>
        <v>0.000521464231959409</v>
      </c>
      <c r="E382" s="3" t="n">
        <f aca="false">E$8*E$10*(1-EXP(-2*$C382/SQRT(PI()*E$9*E$10)))</f>
        <v>0.000520042863974073</v>
      </c>
      <c r="F382" s="3" t="n">
        <f aca="false">F$8*F$10*(1-EXP(-2*$C382/SQRT(PI()*F$9*F$10)))</f>
        <v>0.000513447590645915</v>
      </c>
      <c r="G382" s="3" t="n">
        <f aca="false">G$8*G$10*(1-EXP(-2*$C382/SQRT(PI()*G$9*G$10)))</f>
        <v>0.000260021431987037</v>
      </c>
      <c r="H382" s="3" t="n">
        <f aca="false">H$8*H$10*(1-EXP(-2*$C382/SQRT(PI()*H$9*H$10)))</f>
        <v>5.21464231959409E-005</v>
      </c>
    </row>
    <row r="383" customFormat="false" ht="15.75" hidden="false" customHeight="false" outlineLevel="0" collapsed="false">
      <c r="C383" s="0" t="n">
        <v>37.1</v>
      </c>
      <c r="D383" s="3" t="n">
        <f aca="false">D$8*D$10*(1-EXP(-2*$C383/SQRT(PI()*D$9*D$10)))</f>
        <v>0.000521464265701668</v>
      </c>
      <c r="E383" s="3" t="n">
        <f aca="false">E$8*E$10*(1-EXP(-2*$C383/SQRT(PI()*E$9*E$10)))</f>
        <v>0.000520065380949021</v>
      </c>
      <c r="F383" s="3" t="n">
        <f aca="false">F$8*F$10*(1-EXP(-2*$C383/SQRT(PI()*F$9*F$10)))</f>
        <v>0.000513537551116029</v>
      </c>
      <c r="G383" s="3" t="n">
        <f aca="false">G$8*G$10*(1-EXP(-2*$C383/SQRT(PI()*G$9*G$10)))</f>
        <v>0.00026003269047451</v>
      </c>
      <c r="H383" s="3" t="n">
        <f aca="false">H$8*H$10*(1-EXP(-2*$C383/SQRT(PI()*H$9*H$10)))</f>
        <v>5.21464265701668E-005</v>
      </c>
    </row>
    <row r="384" customFormat="false" ht="15.75" hidden="false" customHeight="false" outlineLevel="0" collapsed="false">
      <c r="C384" s="0" t="n">
        <v>37.2</v>
      </c>
      <c r="D384" s="3" t="n">
        <f aca="false">D$8*D$10*(1-EXP(-2*$C384/SQRT(PI()*D$9*D$10)))</f>
        <v>0.000521464298261147</v>
      </c>
      <c r="E384" s="3" t="n">
        <f aca="false">E$8*E$10*(1-EXP(-2*$C384/SQRT(PI()*E$9*E$10)))</f>
        <v>0.000520087541456795</v>
      </c>
      <c r="F384" s="3" t="n">
        <f aca="false">F$8*F$10*(1-EXP(-2*$C384/SQRT(PI()*F$9*F$10)))</f>
        <v>0.000513626502196521</v>
      </c>
      <c r="G384" s="3" t="n">
        <f aca="false">G$8*G$10*(1-EXP(-2*$C384/SQRT(PI()*G$9*G$10)))</f>
        <v>0.000260043770728398</v>
      </c>
      <c r="H384" s="3" t="n">
        <f aca="false">H$8*H$10*(1-EXP(-2*$C384/SQRT(PI()*H$9*H$10)))</f>
        <v>5.21464298261147E-005</v>
      </c>
    </row>
    <row r="385" customFormat="false" ht="15.75" hidden="false" customHeight="false" outlineLevel="0" collapsed="false">
      <c r="C385" s="0" t="n">
        <v>37.3</v>
      </c>
      <c r="D385" s="3" t="n">
        <f aca="false">D$8*D$10*(1-EXP(-2*$C385/SQRT(PI()*D$9*D$10)))</f>
        <v>0.000521464329679307</v>
      </c>
      <c r="E385" s="3" t="n">
        <f aca="false">E$8*E$10*(1-EXP(-2*$C385/SQRT(PI()*E$9*E$10)))</f>
        <v>0.000520109351140644</v>
      </c>
      <c r="F385" s="3" t="n">
        <f aca="false">F$8*F$10*(1-EXP(-2*$C385/SQRT(PI()*F$9*F$10)))</f>
        <v>0.000513714455213114</v>
      </c>
      <c r="G385" s="3" t="n">
        <f aca="false">G$8*G$10*(1-EXP(-2*$C385/SQRT(PI()*G$9*G$10)))</f>
        <v>0.000260054675570322</v>
      </c>
      <c r="H385" s="3" t="n">
        <f aca="false">H$8*H$10*(1-EXP(-2*$C385/SQRT(PI()*H$9*H$10)))</f>
        <v>5.21464329679307E-005</v>
      </c>
    </row>
    <row r="386" customFormat="false" ht="15.75" hidden="false" customHeight="false" outlineLevel="0" collapsed="false">
      <c r="C386" s="0" t="n">
        <v>37.4</v>
      </c>
      <c r="D386" s="3" t="n">
        <f aca="false">D$8*D$10*(1-EXP(-2*$C386/SQRT(PI()*D$9*D$10)))</f>
        <v>0.000521464359996155</v>
      </c>
      <c r="E386" s="3" t="n">
        <f aca="false">E$8*E$10*(1-EXP(-2*$C386/SQRT(PI()*E$9*E$10)))</f>
        <v>0.000520130815554476</v>
      </c>
      <c r="F386" s="3" t="n">
        <f aca="false">F$8*F$10*(1-EXP(-2*$C386/SQRT(PI()*F$9*F$10)))</f>
        <v>0.000513801421364452</v>
      </c>
      <c r="G386" s="3" t="n">
        <f aca="false">G$8*G$10*(1-EXP(-2*$C386/SQRT(PI()*G$9*G$10)))</f>
        <v>0.000260065407777238</v>
      </c>
      <c r="H386" s="3" t="n">
        <f aca="false">H$8*H$10*(1-EXP(-2*$C386/SQRT(PI()*H$9*H$10)))</f>
        <v>5.21464359996155E-005</v>
      </c>
    </row>
    <row r="387" customFormat="false" ht="15.75" hidden="false" customHeight="false" outlineLevel="0" collapsed="false">
      <c r="C387" s="0" t="n">
        <v>37.5</v>
      </c>
      <c r="D387" s="3" t="n">
        <f aca="false">D$8*D$10*(1-EXP(-2*$C387/SQRT(PI()*D$9*D$10)))</f>
        <v>0.000521464389250295</v>
      </c>
      <c r="E387" s="3" t="n">
        <f aca="false">E$8*E$10*(1-EXP(-2*$C387/SQRT(PI()*E$9*E$10)))</f>
        <v>0.000520151940164275</v>
      </c>
      <c r="F387" s="3" t="n">
        <f aca="false">F$8*F$10*(1-EXP(-2*$C387/SQRT(PI()*F$9*F$10)))</f>
        <v>0.000513887411723529</v>
      </c>
      <c r="G387" s="3" t="n">
        <f aca="false">G$8*G$10*(1-EXP(-2*$C387/SQRT(PI()*G$9*G$10)))</f>
        <v>0.000260075970082137</v>
      </c>
      <c r="H387" s="3" t="n">
        <f aca="false">H$8*H$10*(1-EXP(-2*$C387/SQRT(PI()*H$9*H$10)))</f>
        <v>5.21464389250295E-005</v>
      </c>
    </row>
    <row r="388" customFormat="false" ht="15.75" hidden="false" customHeight="false" outlineLevel="0" collapsed="false">
      <c r="C388" s="0" t="n">
        <v>37.6</v>
      </c>
      <c r="D388" s="3" t="n">
        <f aca="false">D$8*D$10*(1-EXP(-2*$C388/SQRT(PI()*D$9*D$10)))</f>
        <v>0.000521464417478979</v>
      </c>
      <c r="E388" s="3" t="n">
        <f aca="false">E$8*E$10*(1-EXP(-2*$C388/SQRT(PI()*E$9*E$10)))</f>
        <v>0.000520172730349492</v>
      </c>
      <c r="F388" s="3" t="n">
        <f aca="false">F$8*F$10*(1-EXP(-2*$C388/SQRT(PI()*F$9*F$10)))</f>
        <v>0.000513972437239091</v>
      </c>
      <c r="G388" s="3" t="n">
        <f aca="false">G$8*G$10*(1-EXP(-2*$C388/SQRT(PI()*G$9*G$10)))</f>
        <v>0.000260086365174746</v>
      </c>
      <c r="H388" s="3" t="n">
        <f aca="false">H$8*H$10*(1-EXP(-2*$C388/SQRT(PI()*H$9*H$10)))</f>
        <v>5.2146441747898E-005</v>
      </c>
    </row>
    <row r="389" customFormat="false" ht="15.75" hidden="false" customHeight="false" outlineLevel="0" collapsed="false">
      <c r="C389" s="0" t="n">
        <v>37.7</v>
      </c>
      <c r="D389" s="3" t="n">
        <f aca="false">D$8*D$10*(1-EXP(-2*$C389/SQRT(PI()*D$9*D$10)))</f>
        <v>0.000521464444718153</v>
      </c>
      <c r="E389" s="3" t="n">
        <f aca="false">E$8*E$10*(1-EXP(-2*$C389/SQRT(PI()*E$9*E$10)))</f>
        <v>0.000520193191404417</v>
      </c>
      <c r="F389" s="3" t="n">
        <f aca="false">F$8*F$10*(1-EXP(-2*$C389/SQRT(PI()*F$9*F$10)))</f>
        <v>0.00051405650873704</v>
      </c>
      <c r="G389" s="3" t="n">
        <f aca="false">G$8*G$10*(1-EXP(-2*$C389/SQRT(PI()*G$9*G$10)))</f>
        <v>0.000260096595702208</v>
      </c>
      <c r="H389" s="3" t="n">
        <f aca="false">H$8*H$10*(1-EXP(-2*$C389/SQRT(PI()*H$9*H$10)))</f>
        <v>5.21464444718153E-005</v>
      </c>
    </row>
    <row r="390" customFormat="false" ht="15.75" hidden="false" customHeight="false" outlineLevel="0" collapsed="false">
      <c r="C390" s="0" t="n">
        <v>37.8</v>
      </c>
      <c r="D390" s="3" t="n">
        <f aca="false">D$8*D$10*(1-EXP(-2*$C390/SQRT(PI()*D$9*D$10)))</f>
        <v>0.000521464471002502</v>
      </c>
      <c r="E390" s="3" t="n">
        <f aca="false">E$8*E$10*(1-EXP(-2*$C390/SQRT(PI()*E$9*E$10)))</f>
        <v>0.000520213328539525</v>
      </c>
      <c r="F390" s="3" t="n">
        <f aca="false">F$8*F$10*(1-EXP(-2*$C390/SQRT(PI()*F$9*F$10)))</f>
        <v>0.000514139636921804</v>
      </c>
      <c r="G390" s="3" t="n">
        <f aca="false">G$8*G$10*(1-EXP(-2*$C390/SQRT(PI()*G$9*G$10)))</f>
        <v>0.000260106664269763</v>
      </c>
      <c r="H390" s="3" t="n">
        <f aca="false">H$8*H$10*(1-EXP(-2*$C390/SQRT(PI()*H$9*H$10)))</f>
        <v>5.21464471002502E-005</v>
      </c>
    </row>
    <row r="391" customFormat="false" ht="15.75" hidden="false" customHeight="false" outlineLevel="0" collapsed="false">
      <c r="C391" s="0" t="n">
        <v>37.9</v>
      </c>
      <c r="D391" s="3" t="n">
        <f aca="false">D$8*D$10*(1-EXP(-2*$C391/SQRT(PI()*D$9*D$10)))</f>
        <v>0.000521464496365496</v>
      </c>
      <c r="E391" s="3" t="n">
        <f aca="false">E$8*E$10*(1-EXP(-2*$C391/SQRT(PI()*E$9*E$10)))</f>
        <v>0.000520233146882806</v>
      </c>
      <c r="F391" s="3" t="n">
        <f aca="false">F$8*F$10*(1-EXP(-2*$C391/SQRT(PI()*F$9*F$10)))</f>
        <v>0.000514221832377705</v>
      </c>
      <c r="G391" s="3" t="n">
        <f aca="false">G$8*G$10*(1-EXP(-2*$C391/SQRT(PI()*G$9*G$10)))</f>
        <v>0.000260116573441403</v>
      </c>
      <c r="H391" s="3" t="n">
        <f aca="false">H$8*H$10*(1-EXP(-2*$C391/SQRT(PI()*H$9*H$10)))</f>
        <v>5.21464496365496E-005</v>
      </c>
    </row>
    <row r="392" customFormat="false" ht="15.75" hidden="false" customHeight="false" outlineLevel="0" collapsed="false">
      <c r="C392" s="0" t="n">
        <v>38</v>
      </c>
      <c r="D392" s="3" t="n">
        <f aca="false">D$8*D$10*(1-EXP(-2*$C392/SQRT(PI()*D$9*D$10)))</f>
        <v>0.000521464520839431</v>
      </c>
      <c r="E392" s="3" t="n">
        <f aca="false">E$8*E$10*(1-EXP(-2*$C392/SQRT(PI()*E$9*E$10)))</f>
        <v>0.000520252651481064</v>
      </c>
      <c r="F392" s="3" t="n">
        <f aca="false">F$8*F$10*(1-EXP(-2*$C392/SQRT(PI()*F$9*F$10)))</f>
        <v>0.000514303105570304</v>
      </c>
      <c r="G392" s="3" t="n">
        <f aca="false">G$8*G$10*(1-EXP(-2*$C392/SQRT(PI()*G$9*G$10)))</f>
        <v>0.000260126325740532</v>
      </c>
      <c r="H392" s="3" t="n">
        <f aca="false">H$8*H$10*(1-EXP(-2*$C392/SQRT(PI()*H$9*H$10)))</f>
        <v>5.21464520839431E-005</v>
      </c>
    </row>
    <row r="393" customFormat="false" ht="15.75" hidden="false" customHeight="false" outlineLevel="0" collapsed="false">
      <c r="C393" s="0" t="n">
        <v>38.1</v>
      </c>
      <c r="D393" s="3" t="n">
        <f aca="false">D$8*D$10*(1-EXP(-2*$C393/SQRT(PI()*D$9*D$10)))</f>
        <v>0.000521464544455473</v>
      </c>
      <c r="E393" s="3" t="n">
        <f aca="false">E$8*E$10*(1-EXP(-2*$C393/SQRT(PI()*E$9*E$10)))</f>
        <v>0.000520271847301212</v>
      </c>
      <c r="F393" s="3" t="n">
        <f aca="false">F$8*F$10*(1-EXP(-2*$C393/SQRT(PI()*F$9*F$10)))</f>
        <v>0.000514383466847735</v>
      </c>
      <c r="G393" s="3" t="n">
        <f aca="false">G$8*G$10*(1-EXP(-2*$C393/SQRT(PI()*G$9*G$10)))</f>
        <v>0.000260135923650606</v>
      </c>
      <c r="H393" s="3" t="n">
        <f aca="false">H$8*H$10*(1-EXP(-2*$C393/SQRT(PI()*H$9*H$10)))</f>
        <v>5.21464544455473E-005</v>
      </c>
    </row>
    <row r="394" customFormat="false" ht="15.75" hidden="false" customHeight="false" outlineLevel="0" collapsed="false">
      <c r="C394" s="0" t="n">
        <v>38.2</v>
      </c>
      <c r="D394" s="3" t="n">
        <f aca="false">D$8*D$10*(1-EXP(-2*$C394/SQRT(PI()*D$9*D$10)))</f>
        <v>0.000521464567243693</v>
      </c>
      <c r="E394" s="3" t="n">
        <f aca="false">E$8*E$10*(1-EXP(-2*$C394/SQRT(PI()*E$9*E$10)))</f>
        <v>0.000520290739231528</v>
      </c>
      <c r="F394" s="3" t="n">
        <f aca="false">F$8*F$10*(1-EXP(-2*$C394/SQRT(PI()*F$9*F$10)))</f>
        <v>0.000514462926442024</v>
      </c>
      <c r="G394" s="3" t="n">
        <f aca="false">G$8*G$10*(1-EXP(-2*$C394/SQRT(PI()*G$9*G$10)))</f>
        <v>0.000260145369615764</v>
      </c>
      <c r="H394" s="3" t="n">
        <f aca="false">H$8*H$10*(1-EXP(-2*$C394/SQRT(PI()*H$9*H$10)))</f>
        <v>5.21464567243693E-005</v>
      </c>
    </row>
    <row r="395" customFormat="false" ht="15.75" hidden="false" customHeight="false" outlineLevel="0" collapsed="false">
      <c r="C395" s="0" t="n">
        <v>38.3</v>
      </c>
      <c r="D395" s="3" t="n">
        <f aca="false">D$8*D$10*(1-EXP(-2*$C395/SQRT(PI()*D$9*D$10)))</f>
        <v>0.000521464589233109</v>
      </c>
      <c r="E395" s="3" t="n">
        <f aca="false">E$8*E$10*(1-EXP(-2*$C395/SQRT(PI()*E$9*E$10)))</f>
        <v>0.000520309332082905</v>
      </c>
      <c r="F395" s="3" t="n">
        <f aca="false">F$8*F$10*(1-EXP(-2*$C395/SQRT(PI()*F$9*F$10)))</f>
        <v>0.000514541494470385</v>
      </c>
      <c r="G395" s="3" t="n">
        <f aca="false">G$8*G$10*(1-EXP(-2*$C395/SQRT(PI()*G$9*G$10)))</f>
        <v>0.000260154666041452</v>
      </c>
      <c r="H395" s="3" t="n">
        <f aca="false">H$8*H$10*(1-EXP(-2*$C395/SQRT(PI()*H$9*H$10)))</f>
        <v>5.21464589233109E-005</v>
      </c>
    </row>
    <row r="396" customFormat="false" ht="15.75" hidden="false" customHeight="false" outlineLevel="0" collapsed="false">
      <c r="C396" s="0" t="n">
        <v>38.4</v>
      </c>
      <c r="D396" s="3" t="n">
        <f aca="false">D$8*D$10*(1-EXP(-2*$C396/SQRT(PI()*D$9*D$10)))</f>
        <v>0.000521464610451722</v>
      </c>
      <c r="E396" s="3" t="n">
        <f aca="false">E$8*E$10*(1-EXP(-2*$C396/SQRT(PI()*E$9*E$10)))</f>
        <v>0.000520327630590074</v>
      </c>
      <c r="F396" s="3" t="n">
        <f aca="false">F$8*F$10*(1-EXP(-2*$C396/SQRT(PI()*F$9*F$10)))</f>
        <v>0.000514619180936519</v>
      </c>
      <c r="G396" s="3" t="n">
        <f aca="false">G$8*G$10*(1-EXP(-2*$C396/SQRT(PI()*G$9*G$10)))</f>
        <v>0.000260163815295037</v>
      </c>
      <c r="H396" s="3" t="n">
        <f aca="false">H$8*H$10*(1-EXP(-2*$C396/SQRT(PI()*H$9*H$10)))</f>
        <v>5.21464610451722E-005</v>
      </c>
    </row>
    <row r="397" customFormat="false" ht="15.75" hidden="false" customHeight="false" outlineLevel="0" collapsed="false">
      <c r="C397" s="0" t="n">
        <v>38.5</v>
      </c>
      <c r="D397" s="3" t="n">
        <f aca="false">D$8*D$10*(1-EXP(-2*$C397/SQRT(PI()*D$9*D$10)))</f>
        <v>0.000521464630926551</v>
      </c>
      <c r="E397" s="3" t="n">
        <f aca="false">E$8*E$10*(1-EXP(-2*$C397/SQRT(PI()*E$9*E$10)))</f>
        <v>0.00052034563941281</v>
      </c>
      <c r="F397" s="3" t="n">
        <f aca="false">F$8*F$10*(1-EXP(-2*$C397/SQRT(PI()*F$9*F$10)))</f>
        <v>0.000514695995731877</v>
      </c>
      <c r="G397" s="3" t="n">
        <f aca="false">G$8*G$10*(1-EXP(-2*$C397/SQRT(PI()*G$9*G$10)))</f>
        <v>0.000260172819706405</v>
      </c>
      <c r="H397" s="3" t="n">
        <f aca="false">H$8*H$10*(1-EXP(-2*$C397/SQRT(PI()*H$9*H$10)))</f>
        <v>5.21464630926551E-005</v>
      </c>
    </row>
    <row r="398" customFormat="false" ht="15.75" hidden="false" customHeight="false" outlineLevel="0" collapsed="false">
      <c r="C398" s="0" t="n">
        <v>38.6</v>
      </c>
      <c r="D398" s="3" t="n">
        <f aca="false">D$8*D$10*(1-EXP(-2*$C398/SQRT(PI()*D$9*D$10)))</f>
        <v>0.000521464650683669</v>
      </c>
      <c r="E398" s="3" t="n">
        <f aca="false">E$8*E$10*(1-EXP(-2*$C398/SQRT(PI()*E$9*E$10)))</f>
        <v>0.000520363363137121</v>
      </c>
      <c r="F398" s="3" t="n">
        <f aca="false">F$8*F$10*(1-EXP(-2*$C398/SQRT(PI()*F$9*F$10)))</f>
        <v>0.000514771948636928</v>
      </c>
      <c r="G398" s="3" t="n">
        <f aca="false">G$8*G$10*(1-EXP(-2*$C398/SQRT(PI()*G$9*G$10)))</f>
        <v>0.00026018168156856</v>
      </c>
      <c r="H398" s="3" t="n">
        <f aca="false">H$8*H$10*(1-EXP(-2*$C398/SQRT(PI()*H$9*H$10)))</f>
        <v>5.21464650683669E-005</v>
      </c>
    </row>
    <row r="399" customFormat="false" ht="15.75" hidden="false" customHeight="false" outlineLevel="0" collapsed="false">
      <c r="C399" s="0" t="n">
        <v>38.7</v>
      </c>
      <c r="D399" s="3" t="n">
        <f aca="false">D$8*D$10*(1-EXP(-2*$C399/SQRT(PI()*D$9*D$10)))</f>
        <v>0.000521464669748233</v>
      </c>
      <c r="E399" s="3" t="n">
        <f aca="false">E$8*E$10*(1-EXP(-2*$C399/SQRT(PI()*E$9*E$10)))</f>
        <v>0.00052038080627641</v>
      </c>
      <c r="F399" s="3" t="n">
        <f aca="false">F$8*F$10*(1-EXP(-2*$C399/SQRT(PI()*F$9*F$10)))</f>
        <v>0.000514847049322398</v>
      </c>
      <c r="G399" s="3" t="n">
        <f aca="false">G$8*G$10*(1-EXP(-2*$C399/SQRT(PI()*G$9*G$10)))</f>
        <v>0.000260190403138205</v>
      </c>
      <c r="H399" s="3" t="n">
        <f aca="false">H$8*H$10*(1-EXP(-2*$C399/SQRT(PI()*H$9*H$10)))</f>
        <v>5.21464669748233E-005</v>
      </c>
    </row>
    <row r="400" customFormat="false" ht="15.75" hidden="false" customHeight="false" outlineLevel="0" collapsed="false">
      <c r="C400" s="0" t="n">
        <v>38.8</v>
      </c>
      <c r="D400" s="3" t="n">
        <f aca="false">D$8*D$10*(1-EXP(-2*$C400/SQRT(PI()*D$9*D$10)))</f>
        <v>0.000521464688144519</v>
      </c>
      <c r="E400" s="3" t="n">
        <f aca="false">E$8*E$10*(1-EXP(-2*$C400/SQRT(PI()*E$9*E$10)))</f>
        <v>0.000520397973272631</v>
      </c>
      <c r="F400" s="3" t="n">
        <f aca="false">F$8*F$10*(1-EXP(-2*$C400/SQRT(PI()*F$9*F$10)))</f>
        <v>0.000514921307350504</v>
      </c>
      <c r="G400" s="3" t="n">
        <f aca="false">G$8*G$10*(1-EXP(-2*$C400/SQRT(PI()*G$9*G$10)))</f>
        <v>0.000260198986636316</v>
      </c>
      <c r="H400" s="3" t="n">
        <f aca="false">H$8*H$10*(1-EXP(-2*$C400/SQRT(PI()*H$9*H$10)))</f>
        <v>5.21464688144519E-005</v>
      </c>
    </row>
    <row r="401" customFormat="false" ht="15.75" hidden="false" customHeight="false" outlineLevel="0" collapsed="false">
      <c r="C401" s="0" t="n">
        <v>38.9</v>
      </c>
      <c r="D401" s="3" t="n">
        <f aca="false">D$8*D$10*(1-EXP(-2*$C401/SQRT(PI()*D$9*D$10)))</f>
        <v>0.000521464705895954</v>
      </c>
      <c r="E401" s="3" t="n">
        <f aca="false">E$8*E$10*(1-EXP(-2*$C401/SQRT(PI()*E$9*E$10)))</f>
        <v>0.000520414868497417</v>
      </c>
      <c r="F401" s="3" t="n">
        <f aca="false">F$8*F$10*(1-EXP(-2*$C401/SQRT(PI()*F$9*F$10)))</f>
        <v>0.000514994732176173</v>
      </c>
      <c r="G401" s="3" t="n">
        <f aca="false">G$8*G$10*(1-EXP(-2*$C401/SQRT(PI()*G$9*G$10)))</f>
        <v>0.000260207434248709</v>
      </c>
      <c r="H401" s="3" t="n">
        <f aca="false">H$8*H$10*(1-EXP(-2*$C401/SQRT(PI()*H$9*H$10)))</f>
        <v>5.21464705895954E-005</v>
      </c>
    </row>
    <row r="402" customFormat="false" ht="15.75" hidden="false" customHeight="false" outlineLevel="0" collapsed="false">
      <c r="C402" s="0" t="n">
        <v>39</v>
      </c>
      <c r="D402" s="3" t="n">
        <f aca="false">D$8*D$10*(1-EXP(-2*$C402/SQRT(PI()*D$9*D$10)))</f>
        <v>0.000521464723025142</v>
      </c>
      <c r="E402" s="3" t="n">
        <f aca="false">E$8*E$10*(1-EXP(-2*$C402/SQRT(PI()*E$9*E$10)))</f>
        <v>0.000520431496253193</v>
      </c>
      <c r="F402" s="3" t="n">
        <f aca="false">F$8*F$10*(1-EXP(-2*$C402/SQRT(PI()*F$9*F$10)))</f>
        <v>0.000515067333148244</v>
      </c>
      <c r="G402" s="3" t="n">
        <f aca="false">G$8*G$10*(1-EXP(-2*$C402/SQRT(PI()*G$9*G$10)))</f>
        <v>0.000260215748126597</v>
      </c>
      <c r="H402" s="3" t="n">
        <f aca="false">H$8*H$10*(1-EXP(-2*$C402/SQRT(PI()*H$9*H$10)))</f>
        <v>5.21464723025142E-005</v>
      </c>
    </row>
    <row r="403" customFormat="false" ht="15.75" hidden="false" customHeight="false" outlineLevel="0" collapsed="false">
      <c r="C403" s="0" t="n">
        <v>39.1</v>
      </c>
      <c r="D403" s="3" t="n">
        <f aca="false">D$8*D$10*(1-EXP(-2*$C403/SQRT(PI()*D$9*D$10)))</f>
        <v>0.000521464739553893</v>
      </c>
      <c r="E403" s="3" t="n">
        <f aca="false">E$8*E$10*(1-EXP(-2*$C403/SQRT(PI()*E$9*E$10)))</f>
        <v>0.000520447860774272</v>
      </c>
      <c r="F403" s="3" t="n">
        <f aca="false">F$8*F$10*(1-EXP(-2*$C403/SQRT(PI()*F$9*F$10)))</f>
        <v>0.000515139119510656</v>
      </c>
      <c r="G403" s="3" t="n">
        <f aca="false">G$8*G$10*(1-EXP(-2*$C403/SQRT(PI()*G$9*G$10)))</f>
        <v>0.000260223930387136</v>
      </c>
      <c r="H403" s="3" t="n">
        <f aca="false">H$8*H$10*(1-EXP(-2*$C403/SQRT(PI()*H$9*H$10)))</f>
        <v>5.21464739553893E-005</v>
      </c>
    </row>
    <row r="404" customFormat="false" ht="15.75" hidden="false" customHeight="false" outlineLevel="0" collapsed="false">
      <c r="C404" s="0" t="n">
        <v>39.2</v>
      </c>
      <c r="D404" s="3" t="n">
        <f aca="false">D$8*D$10*(1-EXP(-2*$C404/SQRT(PI()*D$9*D$10)))</f>
        <v>0.000521464755503257</v>
      </c>
      <c r="E404" s="3" t="n">
        <f aca="false">E$8*E$10*(1-EXP(-2*$C404/SQRT(PI()*E$9*E$10)))</f>
        <v>0.000520463966227932</v>
      </c>
      <c r="F404" s="3" t="n">
        <f aca="false">F$8*F$10*(1-EXP(-2*$C404/SQRT(PI()*F$9*F$10)))</f>
        <v>0.000515210100403632</v>
      </c>
      <c r="G404" s="3" t="n">
        <f aca="false">G$8*G$10*(1-EXP(-2*$C404/SQRT(PI()*G$9*G$10)))</f>
        <v>0.000260231983113966</v>
      </c>
      <c r="H404" s="3" t="n">
        <f aca="false">H$8*H$10*(1-EXP(-2*$C404/SQRT(PI()*H$9*H$10)))</f>
        <v>5.21464755503257E-005</v>
      </c>
    </row>
    <row r="405" customFormat="false" ht="15.75" hidden="false" customHeight="false" outlineLevel="0" collapsed="false">
      <c r="C405" s="0" t="n">
        <v>39.3</v>
      </c>
      <c r="D405" s="3" t="n">
        <f aca="false">D$8*D$10*(1-EXP(-2*$C405/SQRT(PI()*D$9*D$10)))</f>
        <v>0.000521464770893541</v>
      </c>
      <c r="E405" s="3" t="n">
        <f aca="false">E$8*E$10*(1-EXP(-2*$C405/SQRT(PI()*E$9*E$10)))</f>
        <v>0.000520479816715482</v>
      </c>
      <c r="F405" s="3" t="n">
        <f aca="false">F$8*F$10*(1-EXP(-2*$C405/SQRT(PI()*F$9*F$10)))</f>
        <v>0.000515280284864833</v>
      </c>
      <c r="G405" s="3" t="n">
        <f aca="false">G$8*G$10*(1-EXP(-2*$C405/SQRT(PI()*G$9*G$10)))</f>
        <v>0.000260239908357741</v>
      </c>
      <c r="H405" s="3" t="n">
        <f aca="false">H$8*H$10*(1-EXP(-2*$C405/SQRT(PI()*H$9*H$10)))</f>
        <v>5.21464770893541E-005</v>
      </c>
    </row>
    <row r="406" customFormat="false" ht="15.75" hidden="false" customHeight="false" outlineLevel="0" collapsed="false">
      <c r="C406" s="0" t="n">
        <v>39.4</v>
      </c>
      <c r="D406" s="3" t="n">
        <f aca="false">D$8*D$10*(1-EXP(-2*$C406/SQRT(PI()*D$9*D$10)))</f>
        <v>0.000521464785744344</v>
      </c>
      <c r="E406" s="3" t="n">
        <f aca="false">E$8*E$10*(1-EXP(-2*$C406/SQRT(PI()*E$9*E$10)))</f>
        <v>0.000520495416273301</v>
      </c>
      <c r="F406" s="3" t="n">
        <f aca="false">F$8*F$10*(1-EXP(-2*$C406/SQRT(PI()*F$9*F$10)))</f>
        <v>0.00051534968183052</v>
      </c>
      <c r="G406" s="3" t="n">
        <f aca="false">G$8*G$10*(1-EXP(-2*$C406/SQRT(PI()*G$9*G$10)))</f>
        <v>0.00026024770813665</v>
      </c>
      <c r="H406" s="3" t="n">
        <f aca="false">H$8*H$10*(1-EXP(-2*$C406/SQRT(PI()*H$9*H$10)))</f>
        <v>5.21464785744344E-005</v>
      </c>
    </row>
    <row r="407" customFormat="false" ht="15.75" hidden="false" customHeight="false" outlineLevel="0" collapsed="false">
      <c r="C407" s="0" t="n">
        <v>39.5</v>
      </c>
      <c r="D407" s="3" t="n">
        <f aca="false">D$8*D$10*(1-EXP(-2*$C407/SQRT(PI()*D$9*D$10)))</f>
        <v>0.000521464800074577</v>
      </c>
      <c r="E407" s="3" t="n">
        <f aca="false">E$8*E$10*(1-EXP(-2*$C407/SQRT(PI()*E$9*E$10)))</f>
        <v>0.000520510768873867</v>
      </c>
      <c r="F407" s="3" t="n">
        <f aca="false">F$8*F$10*(1-EXP(-2*$C407/SQRT(PI()*F$9*F$10)))</f>
        <v>0.00051541830013668</v>
      </c>
      <c r="G407" s="3" t="n">
        <f aca="false">G$8*G$10*(1-EXP(-2*$C407/SQRT(PI()*G$9*G$10)))</f>
        <v>0.000260255384436933</v>
      </c>
      <c r="H407" s="3" t="n">
        <f aca="false">H$8*H$10*(1-EXP(-2*$C407/SQRT(PI()*H$9*H$10)))</f>
        <v>5.21464800074577E-005</v>
      </c>
    </row>
    <row r="408" customFormat="false" ht="15.75" hidden="false" customHeight="false" outlineLevel="0" collapsed="false">
      <c r="C408" s="0" t="n">
        <v>39.6</v>
      </c>
      <c r="D408" s="3" t="n">
        <f aca="false">D$8*D$10*(1-EXP(-2*$C408/SQRT(PI()*D$9*D$10)))</f>
        <v>0.000521464813902486</v>
      </c>
      <c r="E408" s="3" t="n">
        <f aca="false">E$8*E$10*(1-EXP(-2*$C408/SQRT(PI()*E$9*E$10)))</f>
        <v>0.000520525878426771</v>
      </c>
      <c r="F408" s="3" t="n">
        <f aca="false">F$8*F$10*(1-EXP(-2*$C408/SQRT(PI()*F$9*F$10)))</f>
        <v>0.000515486148520162</v>
      </c>
      <c r="G408" s="3" t="n">
        <f aca="false">G$8*G$10*(1-EXP(-2*$C408/SQRT(PI()*G$9*G$10)))</f>
        <v>0.000260262939213386</v>
      </c>
      <c r="H408" s="3" t="n">
        <f aca="false">H$8*H$10*(1-EXP(-2*$C408/SQRT(PI()*H$9*H$10)))</f>
        <v>5.21464813902486E-005</v>
      </c>
    </row>
    <row r="409" customFormat="false" ht="15.75" hidden="false" customHeight="false" outlineLevel="0" collapsed="false">
      <c r="C409" s="0" t="n">
        <v>39.7</v>
      </c>
      <c r="D409" s="3" t="n">
        <f aca="false">D$8*D$10*(1-EXP(-2*$C409/SQRT(PI()*D$9*D$10)))</f>
        <v>0.000521464827245681</v>
      </c>
      <c r="E409" s="3" t="n">
        <f aca="false">E$8*E$10*(1-EXP(-2*$C409/SQRT(PI()*E$9*E$10)))</f>
        <v>0.000520540748779711</v>
      </c>
      <c r="F409" s="3" t="n">
        <f aca="false">F$8*F$10*(1-EXP(-2*$C409/SQRT(PI()*F$9*F$10)))</f>
        <v>0.000515553235619781</v>
      </c>
      <c r="G409" s="3" t="n">
        <f aca="false">G$8*G$10*(1-EXP(-2*$C409/SQRT(PI()*G$9*G$10)))</f>
        <v>0.000260270374389856</v>
      </c>
      <c r="H409" s="3" t="n">
        <f aca="false">H$8*H$10*(1-EXP(-2*$C409/SQRT(PI()*H$9*H$10)))</f>
        <v>5.21464827245681E-005</v>
      </c>
    </row>
    <row r="410" customFormat="false" ht="15.75" hidden="false" customHeight="false" outlineLevel="0" collapsed="false">
      <c r="C410" s="0" t="n">
        <v>39.8</v>
      </c>
      <c r="D410" s="3" t="n">
        <f aca="false">D$8*D$10*(1-EXP(-2*$C410/SQRT(PI()*D$9*D$10)))</f>
        <v>0.000521464840121152</v>
      </c>
      <c r="E410" s="3" t="n">
        <f aca="false">E$8*E$10*(1-EXP(-2*$C410/SQRT(PI()*E$9*E$10)))</f>
        <v>0.000520555383719472</v>
      </c>
      <c r="F410" s="3" t="n">
        <f aca="false">F$8*F$10*(1-EXP(-2*$C410/SQRT(PI()*F$9*F$10)))</f>
        <v>0.000515619569977423</v>
      </c>
      <c r="G410" s="3" t="n">
        <f aca="false">G$8*G$10*(1-EXP(-2*$C410/SQRT(PI()*G$9*G$10)))</f>
        <v>0.000260277691859736</v>
      </c>
      <c r="H410" s="3" t="n">
        <f aca="false">H$8*H$10*(1-EXP(-2*$C410/SQRT(PI()*H$9*H$10)))</f>
        <v>5.21464840121152E-005</v>
      </c>
    </row>
    <row r="411" customFormat="false" ht="15.75" hidden="false" customHeight="false" outlineLevel="0" collapsed="false">
      <c r="C411" s="0" t="n">
        <v>39.9</v>
      </c>
      <c r="D411" s="3" t="n">
        <f aca="false">D$8*D$10*(1-EXP(-2*$C411/SQRT(PI()*D$9*D$10)))</f>
        <v>0.000521464852545294</v>
      </c>
      <c r="E411" s="3" t="n">
        <f aca="false">E$8*E$10*(1-EXP(-2*$C411/SQRT(PI()*E$9*E$10)))</f>
        <v>0.000520569786972889</v>
      </c>
      <c r="F411" s="3" t="n">
        <f aca="false">F$8*F$10*(1-EXP(-2*$C411/SQRT(PI()*F$9*F$10)))</f>
        <v>0.00051568516003913</v>
      </c>
      <c r="G411" s="3" t="n">
        <f aca="false">G$8*G$10*(1-EXP(-2*$C411/SQRT(PI()*G$9*G$10)))</f>
        <v>0.000260284893486445</v>
      </c>
      <c r="H411" s="3" t="n">
        <f aca="false">H$8*H$10*(1-EXP(-2*$C411/SQRT(PI()*H$9*H$10)))</f>
        <v>5.21464852545294E-005</v>
      </c>
    </row>
    <row r="412" customFormat="false" ht="15.75" hidden="false" customHeight="false" outlineLevel="0" collapsed="false">
      <c r="C412" s="0" t="n">
        <v>40</v>
      </c>
      <c r="D412" s="3" t="n">
        <f aca="false">D$8*D$10*(1-EXP(-2*$C412/SQRT(PI()*D$9*D$10)))</f>
        <v>0.000521464864533928</v>
      </c>
      <c r="E412" s="3" t="n">
        <f aca="false">E$8*E$10*(1-EXP(-2*$C412/SQRT(PI()*E$9*E$10)))</f>
        <v>0.000520583962207799</v>
      </c>
      <c r="F412" s="3" t="n">
        <f aca="false">F$8*F$10*(1-EXP(-2*$C412/SQRT(PI()*F$9*F$10)))</f>
        <v>0.000515750014156177</v>
      </c>
      <c r="G412" s="3" t="n">
        <f aca="false">G$8*G$10*(1-EXP(-2*$C412/SQRT(PI()*G$9*G$10)))</f>
        <v>0.000260291981103899</v>
      </c>
      <c r="H412" s="3" t="n">
        <f aca="false">H$8*H$10*(1-EXP(-2*$C412/SQRT(PI()*H$9*H$10)))</f>
        <v>5.21464864533928E-005</v>
      </c>
    </row>
    <row r="413" customFormat="false" ht="15.75" hidden="false" customHeight="false" outlineLevel="0" collapsed="false">
      <c r="C413" s="0" t="n">
        <v>40.1</v>
      </c>
      <c r="D413" s="3" t="n">
        <f aca="false">D$8*D$10*(1-EXP(-2*$C413/SQRT(PI()*D$9*D$10)))</f>
        <v>0.00052146487610232</v>
      </c>
      <c r="E413" s="3" t="n">
        <f aca="false">E$8*E$10*(1-EXP(-2*$C413/SQRT(PI()*E$9*E$10)))</f>
        <v>0.000520597913033972</v>
      </c>
      <c r="F413" s="3" t="n">
        <f aca="false">F$8*F$10*(1-EXP(-2*$C413/SQRT(PI()*F$9*F$10)))</f>
        <v>0.000515814140586133</v>
      </c>
      <c r="G413" s="3" t="n">
        <f aca="false">G$8*G$10*(1-EXP(-2*$C413/SQRT(PI()*G$9*G$10)))</f>
        <v>0.000260298956516986</v>
      </c>
      <c r="H413" s="3" t="n">
        <f aca="false">H$8*H$10*(1-EXP(-2*$C413/SQRT(PI()*H$9*H$10)))</f>
        <v>5.2146487610232E-005</v>
      </c>
    </row>
    <row r="414" customFormat="false" ht="15.75" hidden="false" customHeight="false" outlineLevel="0" collapsed="false">
      <c r="C414" s="0" t="n">
        <v>40.2</v>
      </c>
      <c r="D414" s="3" t="n">
        <f aca="false">D$8*D$10*(1-EXP(-2*$C414/SQRT(PI()*D$9*D$10)))</f>
        <v>0.000521464887265201</v>
      </c>
      <c r="E414" s="3" t="n">
        <f aca="false">E$8*E$10*(1-EXP(-2*$C414/SQRT(PI()*E$9*E$10)))</f>
        <v>0.000520611643004032</v>
      </c>
      <c r="F414" s="3" t="n">
        <f aca="false">F$8*F$10*(1-EXP(-2*$C414/SQRT(PI()*F$9*F$10)))</f>
        <v>0.000515877547493917</v>
      </c>
      <c r="G414" s="3" t="n">
        <f aca="false">G$8*G$10*(1-EXP(-2*$C414/SQRT(PI()*G$9*G$10)))</f>
        <v>0.000260305821502016</v>
      </c>
      <c r="H414" s="3" t="n">
        <f aca="false">H$8*H$10*(1-EXP(-2*$C414/SQRT(PI()*H$9*H$10)))</f>
        <v>5.21464887265201E-005</v>
      </c>
    </row>
    <row r="415" customFormat="false" ht="15.75" hidden="false" customHeight="false" outlineLevel="0" collapsed="false">
      <c r="C415" s="0" t="n">
        <v>40.3</v>
      </c>
      <c r="D415" s="3" t="n">
        <f aca="false">D$8*D$10*(1-EXP(-2*$C415/SQRT(PI()*D$9*D$10)))</f>
        <v>0.000521464898036786</v>
      </c>
      <c r="E415" s="3" t="n">
        <f aca="false">E$8*E$10*(1-EXP(-2*$C415/SQRT(PI()*E$9*E$10)))</f>
        <v>0.000520625155614362</v>
      </c>
      <c r="F415" s="3" t="n">
        <f aca="false">F$8*F$10*(1-EXP(-2*$C415/SQRT(PI()*F$9*F$10)))</f>
        <v>0.000515940242952832</v>
      </c>
      <c r="G415" s="3" t="n">
        <f aca="false">G$8*G$10*(1-EXP(-2*$C415/SQRT(PI()*G$9*G$10)))</f>
        <v>0.000260312577807181</v>
      </c>
      <c r="H415" s="3" t="n">
        <f aca="false">H$8*H$10*(1-EXP(-2*$C415/SQRT(PI()*H$9*H$10)))</f>
        <v>5.21464898036786E-005</v>
      </c>
    </row>
    <row r="416" customFormat="false" ht="15.75" hidden="false" customHeight="false" outlineLevel="0" collapsed="false">
      <c r="C416" s="0" t="n">
        <v>40.4</v>
      </c>
      <c r="D416" s="3" t="n">
        <f aca="false">D$8*D$10*(1-EXP(-2*$C416/SQRT(PI()*D$9*D$10)))</f>
        <v>0.00052146490843079</v>
      </c>
      <c r="E416" s="3" t="n">
        <f aca="false">E$8*E$10*(1-EXP(-2*$C416/SQRT(PI()*E$9*E$10)))</f>
        <v>0.000520638454305992</v>
      </c>
      <c r="F416" s="3" t="n">
        <f aca="false">F$8*F$10*(1-EXP(-2*$C416/SQRT(PI()*F$9*F$10)))</f>
        <v>0.000516002234945597</v>
      </c>
      <c r="G416" s="3" t="n">
        <f aca="false">G$8*G$10*(1-EXP(-2*$C416/SQRT(PI()*G$9*G$10)))</f>
        <v>0.000260319227152996</v>
      </c>
      <c r="H416" s="3" t="n">
        <f aca="false">H$8*H$10*(1-EXP(-2*$C416/SQRT(PI()*H$9*H$10)))</f>
        <v>5.2146490843079E-005</v>
      </c>
    </row>
    <row r="417" customFormat="false" ht="15.75" hidden="false" customHeight="false" outlineLevel="0" collapsed="false">
      <c r="C417" s="0" t="n">
        <v>40.5</v>
      </c>
      <c r="D417" s="3" t="n">
        <f aca="false">D$8*D$10*(1-EXP(-2*$C417/SQRT(PI()*D$9*D$10)))</f>
        <v>0.00052146491846045</v>
      </c>
      <c r="E417" s="3" t="n">
        <f aca="false">E$8*E$10*(1-EXP(-2*$C417/SQRT(PI()*E$9*E$10)))</f>
        <v>0.000520651542465479</v>
      </c>
      <c r="F417" s="3" t="n">
        <f aca="false">F$8*F$10*(1-EXP(-2*$C417/SQRT(PI()*F$9*F$10)))</f>
        <v>0.000516063531365361</v>
      </c>
      <c r="G417" s="3" t="n">
        <f aca="false">G$8*G$10*(1-EXP(-2*$C417/SQRT(PI()*G$9*G$10)))</f>
        <v>0.000260325771232739</v>
      </c>
      <c r="H417" s="3" t="n">
        <f aca="false">H$8*H$10*(1-EXP(-2*$C417/SQRT(PI()*H$9*H$10)))</f>
        <v>5.2146491846045E-005</v>
      </c>
    </row>
    <row r="418" customFormat="false" ht="15.75" hidden="false" customHeight="false" outlineLevel="0" collapsed="false">
      <c r="C418" s="0" t="n">
        <v>40.6</v>
      </c>
      <c r="D418" s="3" t="n">
        <f aca="false">D$8*D$10*(1-EXP(-2*$C418/SQRT(PI()*D$9*D$10)))</f>
        <v>0.000521464928138536</v>
      </c>
      <c r="E418" s="3" t="n">
        <f aca="false">E$8*E$10*(1-EXP(-2*$C418/SQRT(PI()*E$9*E$10)))</f>
        <v>0.000520664423425765</v>
      </c>
      <c r="F418" s="3" t="n">
        <f aca="false">F$8*F$10*(1-EXP(-2*$C418/SQRT(PI()*F$9*F$10)))</f>
        <v>0.000516124140016709</v>
      </c>
      <c r="G418" s="3" t="n">
        <f aca="false">G$8*G$10*(1-EXP(-2*$C418/SQRT(PI()*G$9*G$10)))</f>
        <v>0.000260332211712883</v>
      </c>
      <c r="H418" s="3" t="n">
        <f aca="false">H$8*H$10*(1-EXP(-2*$C418/SQRT(PI()*H$9*H$10)))</f>
        <v>5.21464928138535E-005</v>
      </c>
    </row>
    <row r="419" customFormat="false" ht="15.75" hidden="false" customHeight="false" outlineLevel="0" collapsed="false">
      <c r="C419" s="0" t="n">
        <v>40.7</v>
      </c>
      <c r="D419" s="3" t="n">
        <f aca="false">D$8*D$10*(1-EXP(-2*$C419/SQRT(PI()*D$9*D$10)))</f>
        <v>0.000521464937477372</v>
      </c>
      <c r="E419" s="3" t="n">
        <f aca="false">E$8*E$10*(1-EXP(-2*$C419/SQRT(PI()*E$9*E$10)))</f>
        <v>0.00052067710046703</v>
      </c>
      <c r="F419" s="3" t="n">
        <f aca="false">F$8*F$10*(1-EXP(-2*$C419/SQRT(PI()*F$9*F$10)))</f>
        <v>0.000516184068616656</v>
      </c>
      <c r="G419" s="3" t="n">
        <f aca="false">G$8*G$10*(1-EXP(-2*$C419/SQRT(PI()*G$9*G$10)))</f>
        <v>0.000260338550233515</v>
      </c>
      <c r="H419" s="3" t="n">
        <f aca="false">H$8*H$10*(1-EXP(-2*$C419/SQRT(PI()*H$9*H$10)))</f>
        <v>5.21464937477372E-005</v>
      </c>
    </row>
    <row r="420" customFormat="false" ht="15.75" hidden="false" customHeight="false" outlineLevel="0" collapsed="false">
      <c r="C420" s="0" t="n">
        <v>40.8</v>
      </c>
      <c r="D420" s="3" t="n">
        <f aca="false">D$8*D$10*(1-EXP(-2*$C420/SQRT(PI()*D$9*D$10)))</f>
        <v>0.000521464946488851</v>
      </c>
      <c r="E420" s="3" t="n">
        <f aca="false">E$8*E$10*(1-EXP(-2*$C420/SQRT(PI()*E$9*E$10)))</f>
        <v>0.000520689576817525</v>
      </c>
      <c r="F420" s="3" t="n">
        <f aca="false">F$8*F$10*(1-EXP(-2*$C420/SQRT(PI()*F$9*F$10)))</f>
        <v>0.000516243324795631</v>
      </c>
      <c r="G420" s="3" t="n">
        <f aca="false">G$8*G$10*(1-EXP(-2*$C420/SQRT(PI()*G$9*G$10)))</f>
        <v>0.000260344788408762</v>
      </c>
      <c r="H420" s="3" t="n">
        <f aca="false">H$8*H$10*(1-EXP(-2*$C420/SQRT(PI()*H$9*H$10)))</f>
        <v>5.21464946488851E-005</v>
      </c>
    </row>
    <row r="421" customFormat="false" ht="15.75" hidden="false" customHeight="false" outlineLevel="0" collapsed="false">
      <c r="C421" s="0" t="n">
        <v>40.9</v>
      </c>
      <c r="D421" s="3" t="n">
        <f aca="false">D$8*D$10*(1-EXP(-2*$C421/SQRT(PI()*D$9*D$10)))</f>
        <v>0.000521464955184447</v>
      </c>
      <c r="E421" s="3" t="n">
        <f aca="false">E$8*E$10*(1-EXP(-2*$C421/SQRT(PI()*E$9*E$10)))</f>
        <v>0.000520701855654393</v>
      </c>
      <c r="F421" s="3" t="n">
        <f aca="false">F$8*F$10*(1-EXP(-2*$C421/SQRT(PI()*F$9*F$10)))</f>
        <v>0.000516301916098443</v>
      </c>
      <c r="G421" s="3" t="n">
        <f aca="false">G$8*G$10*(1-EXP(-2*$C421/SQRT(PI()*G$9*G$10)))</f>
        <v>0.000260350927827197</v>
      </c>
      <c r="H421" s="3" t="n">
        <f aca="false">H$8*H$10*(1-EXP(-2*$C421/SQRT(PI()*H$9*H$10)))</f>
        <v>5.21464955184447E-005</v>
      </c>
    </row>
    <row r="422" customFormat="false" ht="15.75" hidden="false" customHeight="false" outlineLevel="0" collapsed="false">
      <c r="C422" s="0" t="n">
        <v>41</v>
      </c>
      <c r="D422" s="3" t="n">
        <f aca="false">D$8*D$10*(1-EXP(-2*$C422/SQRT(PI()*D$9*D$10)))</f>
        <v>0.000521464963575233</v>
      </c>
      <c r="E422" s="3" t="n">
        <f aca="false">E$8*E$10*(1-EXP(-2*$C422/SQRT(PI()*E$9*E$10)))</f>
        <v>0.000520713940104481</v>
      </c>
      <c r="F422" s="3" t="n">
        <f aca="false">F$8*F$10*(1-EXP(-2*$C422/SQRT(PI()*F$9*F$10)))</f>
        <v>0.000516359849985248</v>
      </c>
      <c r="G422" s="3" t="n">
        <f aca="false">G$8*G$10*(1-EXP(-2*$C422/SQRT(PI()*G$9*G$10)))</f>
        <v>0.00026035697005224</v>
      </c>
      <c r="H422" s="3" t="n">
        <f aca="false">H$8*H$10*(1-EXP(-2*$C422/SQRT(PI()*H$9*H$10)))</f>
        <v>5.21464963575233E-005</v>
      </c>
    </row>
    <row r="423" customFormat="false" ht="15.75" hidden="false" customHeight="false" outlineLevel="0" collapsed="false">
      <c r="C423" s="0" t="n">
        <v>41.1</v>
      </c>
      <c r="D423" s="3" t="n">
        <f aca="false">D$8*D$10*(1-EXP(-2*$C423/SQRT(PI()*D$9*D$10)))</f>
        <v>0.000521464971671894</v>
      </c>
      <c r="E423" s="3" t="n">
        <f aca="false">E$8*E$10*(1-EXP(-2*$C423/SQRT(PI()*E$9*E$10)))</f>
        <v>0.000520725833245134</v>
      </c>
      <c r="F423" s="3" t="n">
        <f aca="false">F$8*F$10*(1-EXP(-2*$C423/SQRT(PI()*F$9*F$10)))</f>
        <v>0.000516417133832497</v>
      </c>
      <c r="G423" s="3" t="n">
        <f aca="false">G$8*G$10*(1-EXP(-2*$C423/SQRT(PI()*G$9*G$10)))</f>
        <v>0.000260362916622567</v>
      </c>
      <c r="H423" s="3" t="n">
        <f aca="false">H$8*H$10*(1-EXP(-2*$C423/SQRT(PI()*H$9*H$10)))</f>
        <v>5.21464971671894E-005</v>
      </c>
    </row>
    <row r="424" customFormat="false" ht="15.75" hidden="false" customHeight="false" outlineLevel="0" collapsed="false">
      <c r="C424" s="0" t="n">
        <v>41.2</v>
      </c>
      <c r="D424" s="3" t="n">
        <f aca="false">D$8*D$10*(1-EXP(-2*$C424/SQRT(PI()*D$9*D$10)))</f>
        <v>0.00052146497948474</v>
      </c>
      <c r="E424" s="3" t="n">
        <f aca="false">E$8*E$10*(1-EXP(-2*$C424/SQRT(PI()*E$9*E$10)))</f>
        <v>0.00052073753810498</v>
      </c>
      <c r="F424" s="3" t="n">
        <f aca="false">F$8*F$10*(1-EXP(-2*$C424/SQRT(PI()*F$9*F$10)))</f>
        <v>0.000516473774933872</v>
      </c>
      <c r="G424" s="3" t="n">
        <f aca="false">G$8*G$10*(1-EXP(-2*$C424/SQRT(PI()*G$9*G$10)))</f>
        <v>0.00026036876905249</v>
      </c>
      <c r="H424" s="3" t="n">
        <f aca="false">H$8*H$10*(1-EXP(-2*$C424/SQRT(PI()*H$9*H$10)))</f>
        <v>5.2146497948474E-005</v>
      </c>
    </row>
    <row r="425" customFormat="false" ht="15.75" hidden="false" customHeight="false" outlineLevel="0" collapsed="false">
      <c r="C425" s="0" t="n">
        <v>41.3</v>
      </c>
      <c r="D425" s="3" t="n">
        <f aca="false">D$8*D$10*(1-EXP(-2*$C425/SQRT(PI()*D$9*D$10)))</f>
        <v>0.000521464987023719</v>
      </c>
      <c r="E425" s="3" t="n">
        <f aca="false">E$8*E$10*(1-EXP(-2*$C425/SQRT(PI()*E$9*E$10)))</f>
        <v>0.0005207490576647</v>
      </c>
      <c r="F425" s="3" t="n">
        <f aca="false">F$8*F$10*(1-EXP(-2*$C425/SQRT(PI()*F$9*F$10)))</f>
        <v>0.000516529780501219</v>
      </c>
      <c r="G425" s="3" t="n">
        <f aca="false">G$8*G$10*(1-EXP(-2*$C425/SQRT(PI()*G$9*G$10)))</f>
        <v>0.00026037452883235</v>
      </c>
      <c r="H425" s="3" t="n">
        <f aca="false">H$8*H$10*(1-EXP(-2*$C425/SQRT(PI()*H$9*H$10)))</f>
        <v>5.21464987023719E-005</v>
      </c>
    </row>
    <row r="426" customFormat="false" ht="15.75" hidden="false" customHeight="false" outlineLevel="0" collapsed="false">
      <c r="C426" s="0" t="n">
        <v>41.4</v>
      </c>
      <c r="D426" s="3" t="n">
        <f aca="false">D$8*D$10*(1-EXP(-2*$C426/SQRT(PI()*D$9*D$10)))</f>
        <v>0.000521464994298432</v>
      </c>
      <c r="E426" s="3" t="n">
        <f aca="false">E$8*E$10*(1-EXP(-2*$C426/SQRT(PI()*E$9*E$10)))</f>
        <v>0.000520760394857788</v>
      </c>
      <c r="F426" s="3" t="n">
        <f aca="false">F$8*F$10*(1-EXP(-2*$C426/SQRT(PI()*F$9*F$10)))</f>
        <v>0.000516585157665465</v>
      </c>
      <c r="G426" s="3" t="n">
        <f aca="false">G$8*G$10*(1-EXP(-2*$C426/SQRT(PI()*G$9*G$10)))</f>
        <v>0.000260380197428894</v>
      </c>
      <c r="H426" s="3" t="n">
        <f aca="false">H$8*H$10*(1-EXP(-2*$C426/SQRT(PI()*H$9*H$10)))</f>
        <v>5.21464994298432E-005</v>
      </c>
    </row>
    <row r="427" customFormat="false" ht="15.75" hidden="false" customHeight="false" outlineLevel="0" collapsed="false">
      <c r="C427" s="0" t="n">
        <v>41.5</v>
      </c>
      <c r="D427" s="3" t="n">
        <f aca="false">D$8*D$10*(1-EXP(-2*$C427/SQRT(PI()*D$9*D$10)))</f>
        <v>0.000521465001318141</v>
      </c>
      <c r="E427" s="3" t="n">
        <f aca="false">E$8*E$10*(1-EXP(-2*$C427/SQRT(PI()*E$9*E$10)))</f>
        <v>0.000520771552571298</v>
      </c>
      <c r="F427" s="3" t="n">
        <f aca="false">F$8*F$10*(1-EXP(-2*$C427/SQRT(PI()*F$9*F$10)))</f>
        <v>0.000516639913477523</v>
      </c>
      <c r="G427" s="3" t="n">
        <f aca="false">G$8*G$10*(1-EXP(-2*$C427/SQRT(PI()*G$9*G$10)))</f>
        <v>0.000260385776285649</v>
      </c>
      <c r="H427" s="3" t="n">
        <f aca="false">H$8*H$10*(1-EXP(-2*$C427/SQRT(PI()*H$9*H$10)))</f>
        <v>5.21465001318141E-005</v>
      </c>
    </row>
    <row r="428" customFormat="false" ht="15.75" hidden="false" customHeight="false" outlineLevel="0" collapsed="false">
      <c r="C428" s="0" t="n">
        <v>41.6</v>
      </c>
      <c r="D428" s="3" t="n">
        <f aca="false">D$8*D$10*(1-EXP(-2*$C428/SQRT(PI()*D$9*D$10)))</f>
        <v>0.000521465008091786</v>
      </c>
      <c r="E428" s="3" t="n">
        <f aca="false">E$8*E$10*(1-EXP(-2*$C428/SQRT(PI()*E$9*E$10)))</f>
        <v>0.000520782533646579</v>
      </c>
      <c r="F428" s="3" t="n">
        <f aca="false">F$8*F$10*(1-EXP(-2*$C428/SQRT(PI()*F$9*F$10)))</f>
        <v>0.000516694054909193</v>
      </c>
      <c r="G428" s="3" t="n">
        <f aca="false">G$8*G$10*(1-EXP(-2*$C428/SQRT(PI()*G$9*G$10)))</f>
        <v>0.000260391266823289</v>
      </c>
      <c r="H428" s="3" t="n">
        <f aca="false">H$8*H$10*(1-EXP(-2*$C428/SQRT(PI()*H$9*H$10)))</f>
        <v>5.21465008091786E-005</v>
      </c>
    </row>
    <row r="429" customFormat="false" ht="15.75" hidden="false" customHeight="false" outlineLevel="0" collapsed="false">
      <c r="C429" s="0" t="n">
        <v>41.7</v>
      </c>
      <c r="D429" s="3" t="n">
        <f aca="false">D$8*D$10*(1-EXP(-2*$C429/SQRT(PI()*D$9*D$10)))</f>
        <v>0.000521465014627992</v>
      </c>
      <c r="E429" s="3" t="n">
        <f aca="false">E$8*E$10*(1-EXP(-2*$C429/SQRT(PI()*E$9*E$10)))</f>
        <v>0.000520793340879997</v>
      </c>
      <c r="F429" s="3" t="n">
        <f aca="false">F$8*F$10*(1-EXP(-2*$C429/SQRT(PI()*F$9*F$10)))</f>
        <v>0.000516747588854051</v>
      </c>
      <c r="G429" s="3" t="n">
        <f aca="false">G$8*G$10*(1-EXP(-2*$C429/SQRT(PI()*G$9*G$10)))</f>
        <v>0.000260396670439999</v>
      </c>
      <c r="H429" s="3" t="n">
        <f aca="false">H$8*H$10*(1-EXP(-2*$C429/SQRT(PI()*H$9*H$10)))</f>
        <v>5.21465014627992E-005</v>
      </c>
    </row>
    <row r="430" customFormat="false" ht="15.75" hidden="false" customHeight="false" outlineLevel="0" collapsed="false">
      <c r="C430" s="0" t="n">
        <v>41.8</v>
      </c>
      <c r="D430" s="3" t="n">
        <f aca="false">D$8*D$10*(1-EXP(-2*$C430/SQRT(PI()*D$9*D$10)))</f>
        <v>0.000521465020935082</v>
      </c>
      <c r="E430" s="3" t="n">
        <f aca="false">E$8*E$10*(1-EXP(-2*$C430/SQRT(PI()*E$9*E$10)))</f>
        <v>0.000520803977023651</v>
      </c>
      <c r="F430" s="3" t="n">
        <f aca="false">F$8*F$10*(1-EXP(-2*$C430/SQRT(PI()*F$9*F$10)))</f>
        <v>0.000516800522128322</v>
      </c>
      <c r="G430" s="3" t="n">
        <f aca="false">G$8*G$10*(1-EXP(-2*$C430/SQRT(PI()*G$9*G$10)))</f>
        <v>0.000260401988511826</v>
      </c>
      <c r="H430" s="3" t="n">
        <f aca="false">H$8*H$10*(1-EXP(-2*$C430/SQRT(PI()*H$9*H$10)))</f>
        <v>5.21465020935082E-005</v>
      </c>
    </row>
    <row r="431" customFormat="false" ht="15.75" hidden="false" customHeight="false" outlineLevel="0" collapsed="false">
      <c r="C431" s="0" t="n">
        <v>41.9</v>
      </c>
      <c r="D431" s="3" t="n">
        <f aca="false">D$8*D$10*(1-EXP(-2*$C431/SQRT(PI()*D$9*D$10)))</f>
        <v>0.000521465027021087</v>
      </c>
      <c r="E431" s="3" t="n">
        <f aca="false">E$8*E$10*(1-EXP(-2*$C431/SQRT(PI()*E$9*E$10)))</f>
        <v>0.000520814444786071</v>
      </c>
      <c r="F431" s="3" t="n">
        <f aca="false">F$8*F$10*(1-EXP(-2*$C431/SQRT(PI()*F$9*F$10)))</f>
        <v>0.000516852861471751</v>
      </c>
      <c r="G431" s="3" t="n">
        <f aca="false">G$8*G$10*(1-EXP(-2*$C431/SQRT(PI()*G$9*G$10)))</f>
        <v>0.000260407222393035</v>
      </c>
      <c r="H431" s="3" t="n">
        <f aca="false">H$8*H$10*(1-EXP(-2*$C431/SQRT(PI()*H$9*H$10)))</f>
        <v>5.21465027021087E-005</v>
      </c>
    </row>
    <row r="432" customFormat="false" ht="15.75" hidden="false" customHeight="false" outlineLevel="0" collapsed="false">
      <c r="C432" s="0" t="n">
        <v>42</v>
      </c>
      <c r="D432" s="3" t="n">
        <f aca="false">D$8*D$10*(1-EXP(-2*$C432/SQRT(PI()*D$9*D$10)))</f>
        <v>0.000521465032893757</v>
      </c>
      <c r="E432" s="3" t="n">
        <f aca="false">E$8*E$10*(1-EXP(-2*$C432/SQRT(PI()*E$9*E$10)))</f>
        <v>0.000520824746832905</v>
      </c>
      <c r="F432" s="3" t="n">
        <f aca="false">F$8*F$10*(1-EXP(-2*$C432/SQRT(PI()*F$9*F$10)))</f>
        <v>0.000516904613548461</v>
      </c>
      <c r="G432" s="3" t="n">
        <f aca="false">G$8*G$10*(1-EXP(-2*$C432/SQRT(PI()*G$9*G$10)))</f>
        <v>0.000260412373416452</v>
      </c>
      <c r="H432" s="3" t="n">
        <f aca="false">H$8*H$10*(1-EXP(-2*$C432/SQRT(PI()*H$9*H$10)))</f>
        <v>5.21465032893757E-005</v>
      </c>
    </row>
    <row r="433" customFormat="false" ht="15.75" hidden="false" customHeight="false" outlineLevel="0" collapsed="false">
      <c r="C433" s="0" t="n">
        <v>42.1</v>
      </c>
      <c r="D433" s="3" t="n">
        <f aca="false">D$8*D$10*(1-EXP(-2*$C433/SQRT(PI()*D$9*D$10)))</f>
        <v>0.00052146503856057</v>
      </c>
      <c r="E433" s="3" t="n">
        <f aca="false">E$8*E$10*(1-EXP(-2*$C433/SQRT(PI()*E$9*E$10)))</f>
        <v>0.000520834885787605</v>
      </c>
      <c r="F433" s="3" t="n">
        <f aca="false">F$8*F$10*(1-EXP(-2*$C433/SQRT(PI()*F$9*F$10)))</f>
        <v>0.000516955784947802</v>
      </c>
      <c r="G433" s="3" t="n">
        <f aca="false">G$8*G$10*(1-EXP(-2*$C433/SQRT(PI()*G$9*G$10)))</f>
        <v>0.000260417442893802</v>
      </c>
      <c r="H433" s="3" t="n">
        <f aca="false">H$8*H$10*(1-EXP(-2*$C433/SQRT(PI()*H$9*H$10)))</f>
        <v>5.2146503856057E-005</v>
      </c>
    </row>
    <row r="434" customFormat="false" ht="15.75" hidden="false" customHeight="false" outlineLevel="0" collapsed="false">
      <c r="C434" s="0" t="n">
        <v>42.2</v>
      </c>
      <c r="D434" s="3" t="n">
        <f aca="false">D$8*D$10*(1-EXP(-2*$C434/SQRT(PI()*D$9*D$10)))</f>
        <v>0.000521465044028742</v>
      </c>
      <c r="E434" s="3" t="n">
        <f aca="false">E$8*E$10*(1-EXP(-2*$C434/SQRT(PI()*E$9*E$10)))</f>
        <v>0.000520844864232089</v>
      </c>
      <c r="F434" s="3" t="n">
        <f aca="false">F$8*F$10*(1-EXP(-2*$C434/SQRT(PI()*F$9*F$10)))</f>
        <v>0.000517006382185187</v>
      </c>
      <c r="G434" s="3" t="n">
        <f aca="false">G$8*G$10*(1-EXP(-2*$C434/SQRT(PI()*G$9*G$10)))</f>
        <v>0.000260422432116044</v>
      </c>
      <c r="H434" s="3" t="n">
        <f aca="false">H$8*H$10*(1-EXP(-2*$C434/SQRT(PI()*H$9*H$10)))</f>
        <v>5.21465044028742E-005</v>
      </c>
    </row>
    <row r="435" customFormat="false" ht="15.75" hidden="false" customHeight="false" outlineLevel="0" collapsed="false">
      <c r="C435" s="0" t="n">
        <v>42.3</v>
      </c>
      <c r="D435" s="3" t="n">
        <f aca="false">D$8*D$10*(1-EXP(-2*$C435/SQRT(PI()*D$9*D$10)))</f>
        <v>0.000521465049305237</v>
      </c>
      <c r="E435" s="3" t="n">
        <f aca="false">E$8*E$10*(1-EXP(-2*$C435/SQRT(PI()*E$9*E$10)))</f>
        <v>0.0005208546847074</v>
      </c>
      <c r="F435" s="3" t="n">
        <f aca="false">F$8*F$10*(1-EXP(-2*$C435/SQRT(PI()*F$9*F$10)))</f>
        <v>0.000517056411702926</v>
      </c>
      <c r="G435" s="3" t="n">
        <f aca="false">G$8*G$10*(1-EXP(-2*$C435/SQRT(PI()*G$9*G$10)))</f>
        <v>0.0002604273423537</v>
      </c>
      <c r="H435" s="3" t="n">
        <f aca="false">H$8*H$10*(1-EXP(-2*$C435/SQRT(PI()*H$9*H$10)))</f>
        <v>5.21465049305237E-005</v>
      </c>
    </row>
    <row r="436" customFormat="false" ht="15.75" hidden="false" customHeight="false" outlineLevel="0" collapsed="false">
      <c r="C436" s="0" t="n">
        <v>42.4</v>
      </c>
      <c r="D436" s="3" t="n">
        <f aca="false">D$8*D$10*(1-EXP(-2*$C436/SQRT(PI()*D$9*D$10)))</f>
        <v>0.000521465054396772</v>
      </c>
      <c r="E436" s="3" t="n">
        <f aca="false">E$8*E$10*(1-EXP(-2*$C436/SQRT(PI()*E$9*E$10)))</f>
        <v>0.000520864349714357</v>
      </c>
      <c r="F436" s="3" t="n">
        <f aca="false">F$8*F$10*(1-EXP(-2*$C436/SQRT(PI()*F$9*F$10)))</f>
        <v>0.00051710587987104</v>
      </c>
      <c r="G436" s="3" t="n">
        <f aca="false">G$8*G$10*(1-EXP(-2*$C436/SQRT(PI()*G$9*G$10)))</f>
        <v>0.000260432174857178</v>
      </c>
      <c r="H436" s="3" t="n">
        <f aca="false">H$8*H$10*(1-EXP(-2*$C436/SQRT(PI()*H$9*H$10)))</f>
        <v>5.21465054396772E-005</v>
      </c>
    </row>
    <row r="437" customFormat="false" ht="15.75" hidden="false" customHeight="false" outlineLevel="0" collapsed="false">
      <c r="C437" s="0" t="n">
        <v>42.5</v>
      </c>
      <c r="D437" s="3" t="n">
        <f aca="false">D$8*D$10*(1-EXP(-2*$C437/SQRT(PI()*D$9*D$10)))</f>
        <v>0.000521465059309833</v>
      </c>
      <c r="E437" s="3" t="n">
        <f aca="false">E$8*E$10*(1-EXP(-2*$C437/SQRT(PI()*E$9*E$10)))</f>
        <v>0.000520873861714184</v>
      </c>
      <c r="F437" s="3" t="n">
        <f aca="false">F$8*F$10*(1-EXP(-2*$C437/SQRT(PI()*F$9*F$10)))</f>
        <v>0.000517154792988081</v>
      </c>
      <c r="G437" s="3" t="n">
        <f aca="false">G$8*G$10*(1-EXP(-2*$C437/SQRT(PI()*G$9*G$10)))</f>
        <v>0.000260436930857092</v>
      </c>
      <c r="H437" s="3" t="n">
        <f aca="false">H$8*H$10*(1-EXP(-2*$C437/SQRT(PI()*H$9*H$10)))</f>
        <v>5.21465059309833E-005</v>
      </c>
    </row>
    <row r="438" customFormat="false" ht="15.75" hidden="false" customHeight="false" outlineLevel="0" collapsed="false">
      <c r="C438" s="0" t="n">
        <v>42.6</v>
      </c>
      <c r="D438" s="3" t="n">
        <f aca="false">D$8*D$10*(1-EXP(-2*$C438/SQRT(PI()*D$9*D$10)))</f>
        <v>0.000521465064050673</v>
      </c>
      <c r="E438" s="3" t="n">
        <f aca="false">E$8*E$10*(1-EXP(-2*$C438/SQRT(PI()*E$9*E$10)))</f>
        <v>0.000520883223129143</v>
      </c>
      <c r="F438" s="3" t="n">
        <f aca="false">F$8*F$10*(1-EXP(-2*$C438/SQRT(PI()*F$9*F$10)))</f>
        <v>0.000517203157281926</v>
      </c>
      <c r="G438" s="3" t="n">
        <f aca="false">G$8*G$10*(1-EXP(-2*$C438/SQRT(PI()*G$9*G$10)))</f>
        <v>0.000260441611564572</v>
      </c>
      <c r="H438" s="3" t="n">
        <f aca="false">H$8*H$10*(1-EXP(-2*$C438/SQRT(PI()*H$9*H$10)))</f>
        <v>5.21465064050673E-005</v>
      </c>
    </row>
    <row r="439" customFormat="false" ht="15.75" hidden="false" customHeight="false" outlineLevel="0" collapsed="false">
      <c r="C439" s="0" t="n">
        <v>42.7</v>
      </c>
      <c r="D439" s="3" t="n">
        <f aca="false">D$8*D$10*(1-EXP(-2*$C439/SQRT(PI()*D$9*D$10)))</f>
        <v>0.000521465068625332</v>
      </c>
      <c r="E439" s="3" t="n">
        <f aca="false">E$8*E$10*(1-EXP(-2*$C439/SQRT(PI()*E$9*E$10)))</f>
        <v>0.000520892436343151</v>
      </c>
      <c r="F439" s="3" t="n">
        <f aca="false">F$8*F$10*(1-EXP(-2*$C439/SQRT(PI()*F$9*F$10)))</f>
        <v>0.000517250978910573</v>
      </c>
      <c r="G439" s="3" t="n">
        <f aca="false">G$8*G$10*(1-EXP(-2*$C439/SQRT(PI()*G$9*G$10)))</f>
        <v>0.000260446218171576</v>
      </c>
      <c r="H439" s="3" t="n">
        <f aca="false">H$8*H$10*(1-EXP(-2*$C439/SQRT(PI()*H$9*H$10)))</f>
        <v>5.21465068625332E-005</v>
      </c>
    </row>
    <row r="440" customFormat="false" ht="15.75" hidden="false" customHeight="false" outlineLevel="0" collapsed="false">
      <c r="C440" s="0" t="n">
        <v>42.8</v>
      </c>
      <c r="D440" s="3" t="n">
        <f aca="false">D$8*D$10*(1-EXP(-2*$C440/SQRT(PI()*D$9*D$10)))</f>
        <v>0.000521465073039633</v>
      </c>
      <c r="E440" s="3" t="n">
        <f aca="false">E$8*E$10*(1-EXP(-2*$C440/SQRT(PI()*E$9*E$10)))</f>
        <v>0.000520901503702383</v>
      </c>
      <c r="F440" s="3" t="n">
        <f aca="false">F$8*F$10*(1-EXP(-2*$C440/SQRT(PI()*F$9*F$10)))</f>
        <v>0.000517298263962926</v>
      </c>
      <c r="G440" s="3" t="n">
        <f aca="false">G$8*G$10*(1-EXP(-2*$C440/SQRT(PI()*G$9*G$10)))</f>
        <v>0.000260450751851191</v>
      </c>
      <c r="H440" s="3" t="n">
        <f aca="false">H$8*H$10*(1-EXP(-2*$C440/SQRT(PI()*H$9*H$10)))</f>
        <v>5.21465073039633E-005</v>
      </c>
    </row>
    <row r="441" customFormat="false" ht="15.75" hidden="false" customHeight="false" outlineLevel="0" collapsed="false">
      <c r="C441" s="0" t="n">
        <v>42.9</v>
      </c>
      <c r="D441" s="3" t="n">
        <f aca="false">D$8*D$10*(1-EXP(-2*$C441/SQRT(PI()*D$9*D$10)))</f>
        <v>0.000521465077299198</v>
      </c>
      <c r="E441" s="3" t="n">
        <f aca="false">E$8*E$10*(1-EXP(-2*$C441/SQRT(PI()*E$9*E$10)))</f>
        <v>0.000520910427515871</v>
      </c>
      <c r="F441" s="3" t="n">
        <f aca="false">F$8*F$10*(1-EXP(-2*$C441/SQRT(PI()*F$9*F$10)))</f>
        <v>0.000517345018459569</v>
      </c>
      <c r="G441" s="3" t="n">
        <f aca="false">G$8*G$10*(1-EXP(-2*$C441/SQRT(PI()*G$9*G$10)))</f>
        <v>0.000260455213757935</v>
      </c>
      <c r="H441" s="3" t="n">
        <f aca="false">H$8*H$10*(1-EXP(-2*$C441/SQRT(PI()*H$9*H$10)))</f>
        <v>5.21465077299198E-005</v>
      </c>
    </row>
    <row r="442" customFormat="false" ht="15.75" hidden="false" customHeight="false" outlineLevel="0" collapsed="false">
      <c r="C442" s="0" t="n">
        <v>43</v>
      </c>
      <c r="D442" s="3" t="n">
        <f aca="false">D$8*D$10*(1-EXP(-2*$C442/SQRT(PI()*D$9*D$10)))</f>
        <v>0.000521465081409451</v>
      </c>
      <c r="E442" s="3" t="n">
        <f aca="false">E$8*E$10*(1-EXP(-2*$C442/SQRT(PI()*E$9*E$10)))</f>
        <v>0.000520919210056094</v>
      </c>
      <c r="F442" s="3" t="n">
        <f aca="false">F$8*F$10*(1-EXP(-2*$C442/SQRT(PI()*F$9*F$10)))</f>
        <v>0.000517391248353531</v>
      </c>
      <c r="G442" s="3" t="n">
        <f aca="false">G$8*G$10*(1-EXP(-2*$C442/SQRT(PI()*G$9*G$10)))</f>
        <v>0.000260459605028047</v>
      </c>
      <c r="H442" s="3" t="n">
        <f aca="false">H$8*H$10*(1-EXP(-2*$C442/SQRT(PI()*H$9*H$10)))</f>
        <v>5.21465081409451E-005</v>
      </c>
    </row>
    <row r="443" customFormat="false" ht="15.75" hidden="false" customHeight="false" outlineLevel="0" collapsed="false">
      <c r="C443" s="0" t="n">
        <v>43.1</v>
      </c>
      <c r="D443" s="3" t="n">
        <f aca="false">D$8*D$10*(1-EXP(-2*$C443/SQRT(PI()*D$9*D$10)))</f>
        <v>0.000521465085375626</v>
      </c>
      <c r="E443" s="3" t="n">
        <f aca="false">E$8*E$10*(1-EXP(-2*$C443/SQRT(PI()*E$9*E$10)))</f>
        <v>0.000520927853559556</v>
      </c>
      <c r="F443" s="3" t="n">
        <f aca="false">F$8*F$10*(1-EXP(-2*$C443/SQRT(PI()*F$9*F$10)))</f>
        <v>0.000517436959531049</v>
      </c>
      <c r="G443" s="3" t="n">
        <f aca="false">G$8*G$10*(1-EXP(-2*$C443/SQRT(PI()*G$9*G$10)))</f>
        <v>0.000260463926779778</v>
      </c>
      <c r="H443" s="3" t="n">
        <f aca="false">H$8*H$10*(1-EXP(-2*$C443/SQRT(PI()*H$9*H$10)))</f>
        <v>5.21465085375626E-005</v>
      </c>
    </row>
    <row r="444" customFormat="false" ht="15.75" hidden="false" customHeight="false" outlineLevel="0" collapsed="false">
      <c r="C444" s="0" t="n">
        <v>43.2</v>
      </c>
      <c r="D444" s="3" t="n">
        <f aca="false">D$8*D$10*(1-EXP(-2*$C444/SQRT(PI()*D$9*D$10)))</f>
        <v>0.000521465089202773</v>
      </c>
      <c r="E444" s="3" t="n">
        <f aca="false">E$8*E$10*(1-EXP(-2*$C444/SQRT(PI()*E$9*E$10)))</f>
        <v>0.000520936360227353</v>
      </c>
      <c r="F444" s="3" t="n">
        <f aca="false">F$8*F$10*(1-EXP(-2*$C444/SQRT(PI()*F$9*F$10)))</f>
        <v>0.000517482157812312</v>
      </c>
      <c r="G444" s="3" t="n">
        <f aca="false">G$8*G$10*(1-EXP(-2*$C444/SQRT(PI()*G$9*G$10)))</f>
        <v>0.000260468180113677</v>
      </c>
      <c r="H444" s="3" t="n">
        <f aca="false">H$8*H$10*(1-EXP(-2*$C444/SQRT(PI()*H$9*H$10)))</f>
        <v>5.21465089202773E-005</v>
      </c>
    </row>
    <row r="445" customFormat="false" ht="15.75" hidden="false" customHeight="false" outlineLevel="0" collapsed="false">
      <c r="C445" s="0" t="n">
        <v>43.3</v>
      </c>
      <c r="D445" s="3" t="n">
        <f aca="false">D$8*D$10*(1-EXP(-2*$C445/SQRT(PI()*D$9*D$10)))</f>
        <v>0.000521465092895765</v>
      </c>
      <c r="E445" s="3" t="n">
        <f aca="false">E$8*E$10*(1-EXP(-2*$C445/SQRT(PI()*E$9*E$10)))</f>
        <v>0.000520944732225736</v>
      </c>
      <c r="F445" s="3" t="n">
        <f aca="false">F$8*F$10*(1-EXP(-2*$C445/SQRT(PI()*F$9*F$10)))</f>
        <v>0.000517526848952205</v>
      </c>
      <c r="G445" s="3" t="n">
        <f aca="false">G$8*G$10*(1-EXP(-2*$C445/SQRT(PI()*G$9*G$10)))</f>
        <v>0.000260472366112868</v>
      </c>
      <c r="H445" s="3" t="n">
        <f aca="false">H$8*H$10*(1-EXP(-2*$C445/SQRT(PI()*H$9*H$10)))</f>
        <v>5.21465092895765E-005</v>
      </c>
    </row>
    <row r="446" customFormat="false" ht="15.75" hidden="false" customHeight="false" outlineLevel="0" collapsed="false">
      <c r="C446" s="0" t="n">
        <v>43.4</v>
      </c>
      <c r="D446" s="3" t="n">
        <f aca="false">D$8*D$10*(1-EXP(-2*$C446/SQRT(PI()*D$9*D$10)))</f>
        <v>0.000521465096459306</v>
      </c>
      <c r="E446" s="3" t="n">
        <f aca="false">E$8*E$10*(1-EXP(-2*$C446/SQRT(PI()*E$9*E$10)))</f>
        <v>0.000520952971686663</v>
      </c>
      <c r="F446" s="3" t="n">
        <f aca="false">F$8*F$10*(1-EXP(-2*$C446/SQRT(PI()*F$9*F$10)))</f>
        <v>0.000517571038641041</v>
      </c>
      <c r="G446" s="3" t="n">
        <f aca="false">G$8*G$10*(1-EXP(-2*$C446/SQRT(PI()*G$9*G$10)))</f>
        <v>0.000260476485843331</v>
      </c>
      <c r="H446" s="3" t="n">
        <f aca="false">H$8*H$10*(1-EXP(-2*$C446/SQRT(PI()*H$9*H$10)))</f>
        <v>5.21465096459306E-005</v>
      </c>
    </row>
    <row r="447" customFormat="false" ht="15.75" hidden="false" customHeight="false" outlineLevel="0" collapsed="false">
      <c r="C447" s="0" t="n">
        <v>43.5</v>
      </c>
      <c r="D447" s="3" t="n">
        <f aca="false">D$8*D$10*(1-EXP(-2*$C447/SQRT(PI()*D$9*D$10)))</f>
        <v>0.000521465099897933</v>
      </c>
      <c r="E447" s="3" t="n">
        <f aca="false">E$8*E$10*(1-EXP(-2*$C447/SQRT(PI()*E$9*E$10)))</f>
        <v>0.000520961080708339</v>
      </c>
      <c r="F447" s="3" t="n">
        <f aca="false">F$8*F$10*(1-EXP(-2*$C447/SQRT(PI()*F$9*F$10)))</f>
        <v>0.000517614732505286</v>
      </c>
      <c r="G447" s="3" t="n">
        <f aca="false">G$8*G$10*(1-EXP(-2*$C447/SQRT(PI()*G$9*G$10)))</f>
        <v>0.000260480540354169</v>
      </c>
      <c r="H447" s="3" t="n">
        <f aca="false">H$8*H$10*(1-EXP(-2*$C447/SQRT(PI()*H$9*H$10)))</f>
        <v>5.21465099897933E-005</v>
      </c>
    </row>
    <row r="448" customFormat="false" ht="15.75" hidden="false" customHeight="false" outlineLevel="0" collapsed="false">
      <c r="C448" s="0" t="n">
        <v>43.6</v>
      </c>
      <c r="D448" s="3" t="n">
        <f aca="false">D$8*D$10*(1-EXP(-2*$C448/SQRT(PI()*D$9*D$10)))</f>
        <v>0.000521465103216024</v>
      </c>
      <c r="E448" s="3" t="n">
        <f aca="false">E$8*E$10*(1-EXP(-2*$C448/SQRT(PI()*E$9*E$10)))</f>
        <v>0.000520969061355753</v>
      </c>
      <c r="F448" s="3" t="n">
        <f aca="false">F$8*F$10*(1-EXP(-2*$C448/SQRT(PI()*F$9*F$10)))</f>
        <v>0.000517657936108275</v>
      </c>
      <c r="G448" s="3" t="n">
        <f aca="false">G$8*G$10*(1-EXP(-2*$C448/SQRT(PI()*G$9*G$10)))</f>
        <v>0.000260484530677877</v>
      </c>
      <c r="H448" s="3" t="n">
        <f aca="false">H$8*H$10*(1-EXP(-2*$C448/SQRT(PI()*H$9*H$10)))</f>
        <v>5.21465103216024E-005</v>
      </c>
    </row>
    <row r="449" customFormat="false" ht="15.75" hidden="false" customHeight="false" outlineLevel="0" collapsed="false">
      <c r="C449" s="0" t="n">
        <v>43.7</v>
      </c>
      <c r="D449" s="3" t="n">
        <f aca="false">D$8*D$10*(1-EXP(-2*$C449/SQRT(PI()*D$9*D$10)))</f>
        <v>0.000521465106417805</v>
      </c>
      <c r="E449" s="3" t="n">
        <f aca="false">E$8*E$10*(1-EXP(-2*$C449/SQRT(PI()*E$9*E$10)))</f>
        <v>0.000520976915661205</v>
      </c>
      <c r="F449" s="3" t="n">
        <f aca="false">F$8*F$10*(1-EXP(-2*$C449/SQRT(PI()*F$9*F$10)))</f>
        <v>0.000517700654950918</v>
      </c>
      <c r="G449" s="3" t="n">
        <f aca="false">G$8*G$10*(1-EXP(-2*$C449/SQRT(PI()*G$9*G$10)))</f>
        <v>0.000260488457830602</v>
      </c>
      <c r="H449" s="3" t="n">
        <f aca="false">H$8*H$10*(1-EXP(-2*$C449/SQRT(PI()*H$9*H$10)))</f>
        <v>5.21465106417805E-005</v>
      </c>
    </row>
    <row r="450" customFormat="false" ht="15.75" hidden="false" customHeight="false" outlineLevel="0" collapsed="false">
      <c r="C450" s="0" t="n">
        <v>43.8</v>
      </c>
      <c r="D450" s="3" t="n">
        <f aca="false">D$8*D$10*(1-EXP(-2*$C450/SQRT(PI()*D$9*D$10)))</f>
        <v>0.000521465109507353</v>
      </c>
      <c r="E450" s="3" t="n">
        <f aca="false">E$8*E$10*(1-EXP(-2*$C450/SQRT(PI()*E$9*E$10)))</f>
        <v>0.000520984645624818</v>
      </c>
      <c r="F450" s="3" t="n">
        <f aca="false">F$8*F$10*(1-EXP(-2*$C450/SQRT(PI()*F$9*F$10)))</f>
        <v>0.000517742894472407</v>
      </c>
      <c r="G450" s="3" t="n">
        <f aca="false">G$8*G$10*(1-EXP(-2*$C450/SQRT(PI()*G$9*G$10)))</f>
        <v>0.000260492322812409</v>
      </c>
      <c r="H450" s="3" t="n">
        <f aca="false">H$8*H$10*(1-EXP(-2*$C450/SQRT(PI()*H$9*H$10)))</f>
        <v>5.21465109507353E-005</v>
      </c>
    </row>
    <row r="451" customFormat="false" ht="15.75" hidden="false" customHeight="false" outlineLevel="0" collapsed="false">
      <c r="C451" s="0" t="n">
        <v>43.9</v>
      </c>
      <c r="D451" s="3" t="n">
        <f aca="false">D$8*D$10*(1-EXP(-2*$C451/SQRT(PI()*D$9*D$10)))</f>
        <v>0.000521465112488601</v>
      </c>
      <c r="E451" s="3" t="n">
        <f aca="false">E$8*E$10*(1-EXP(-2*$C451/SQRT(PI()*E$9*E$10)))</f>
        <v>0.000520992253215054</v>
      </c>
      <c r="F451" s="3" t="n">
        <f aca="false">F$8*F$10*(1-EXP(-2*$C451/SQRT(PI()*F$9*F$10)))</f>
        <v>0.0005177846600509</v>
      </c>
      <c r="G451" s="3" t="n">
        <f aca="false">G$8*G$10*(1-EXP(-2*$C451/SQRT(PI()*G$9*G$10)))</f>
        <v>0.000260496126607527</v>
      </c>
      <c r="H451" s="3" t="n">
        <f aca="false">H$8*H$10*(1-EXP(-2*$C451/SQRT(PI()*H$9*H$10)))</f>
        <v>5.21465112488601E-005</v>
      </c>
    </row>
    <row r="452" customFormat="false" ht="15.75" hidden="false" customHeight="false" outlineLevel="0" collapsed="false">
      <c r="C452" s="0" t="n">
        <v>44</v>
      </c>
      <c r="D452" s="3" t="n">
        <f aca="false">D$8*D$10*(1-EXP(-2*$C452/SQRT(PI()*D$9*D$10)))</f>
        <v>0.000521465115365347</v>
      </c>
      <c r="E452" s="3" t="n">
        <f aca="false">E$8*E$10*(1-EXP(-2*$C452/SQRT(PI()*E$9*E$10)))</f>
        <v>0.000520999740369211</v>
      </c>
      <c r="F452" s="3" t="n">
        <f aca="false">F$8*F$10*(1-EXP(-2*$C452/SQRT(PI()*F$9*F$10)))</f>
        <v>0.000517825957004213</v>
      </c>
      <c r="G452" s="3" t="n">
        <f aca="false">G$8*G$10*(1-EXP(-2*$C452/SQRT(PI()*G$9*G$10)))</f>
        <v>0.000260499870184605</v>
      </c>
      <c r="H452" s="3" t="n">
        <f aca="false">H$8*H$10*(1-EXP(-2*$C452/SQRT(PI()*H$9*H$10)))</f>
        <v>5.21465115365347E-005</v>
      </c>
    </row>
    <row r="453" customFormat="false" ht="15.75" hidden="false" customHeight="false" outlineLevel="0" collapsed="false">
      <c r="C453" s="0" t="n">
        <v>44.1</v>
      </c>
      <c r="D453" s="3" t="n">
        <f aca="false">D$8*D$10*(1-EXP(-2*$C453/SQRT(PI()*D$9*D$10)))</f>
        <v>0.000521465118141254</v>
      </c>
      <c r="E453" s="3" t="n">
        <f aca="false">E$8*E$10*(1-EXP(-2*$C453/SQRT(PI()*E$9*E$10)))</f>
        <v>0.000521007108993917</v>
      </c>
      <c r="F453" s="3" t="n">
        <f aca="false">F$8*F$10*(1-EXP(-2*$C453/SQRT(PI()*F$9*F$10)))</f>
        <v>0.000517866790590494</v>
      </c>
      <c r="G453" s="3" t="n">
        <f aca="false">G$8*G$10*(1-EXP(-2*$C453/SQRT(PI()*G$9*G$10)))</f>
        <v>0.000260503554496958</v>
      </c>
      <c r="H453" s="3" t="n">
        <f aca="false">H$8*H$10*(1-EXP(-2*$C453/SQRT(PI()*H$9*H$10)))</f>
        <v>5.21465118141254E-005</v>
      </c>
    </row>
    <row r="454" customFormat="false" ht="15.75" hidden="false" customHeight="false" outlineLevel="0" collapsed="false">
      <c r="C454" s="0" t="n">
        <v>44.2</v>
      </c>
      <c r="D454" s="3" t="n">
        <f aca="false">D$8*D$10*(1-EXP(-2*$C454/SQRT(PI()*D$9*D$10)))</f>
        <v>0.000521465120819855</v>
      </c>
      <c r="E454" s="3" t="n">
        <f aca="false">E$8*E$10*(1-EXP(-2*$C454/SQRT(PI()*E$9*E$10)))</f>
        <v>0.000521014360965617</v>
      </c>
      <c r="F454" s="3" t="n">
        <f aca="false">F$8*F$10*(1-EXP(-2*$C454/SQRT(PI()*F$9*F$10)))</f>
        <v>0.00051790716600889</v>
      </c>
      <c r="G454" s="3" t="n">
        <f aca="false">G$8*G$10*(1-EXP(-2*$C454/SQRT(PI()*G$9*G$10)))</f>
        <v>0.000260507180482808</v>
      </c>
      <c r="H454" s="3" t="n">
        <f aca="false">H$8*H$10*(1-EXP(-2*$C454/SQRT(PI()*H$9*H$10)))</f>
        <v>5.21465120819855E-005</v>
      </c>
    </row>
    <row r="455" customFormat="false" ht="15.75" hidden="false" customHeight="false" outlineLevel="0" collapsed="false">
      <c r="C455" s="0" t="n">
        <v>44.3</v>
      </c>
      <c r="D455" s="3" t="n">
        <f aca="false">D$8*D$10*(1-EXP(-2*$C455/SQRT(PI()*D$9*D$10)))</f>
        <v>0.000521465123404562</v>
      </c>
      <c r="E455" s="3" t="n">
        <f aca="false">E$8*E$10*(1-EXP(-2*$C455/SQRT(PI()*E$9*E$10)))</f>
        <v>0.000521021498131049</v>
      </c>
      <c r="F455" s="3" t="n">
        <f aca="false">F$8*F$10*(1-EXP(-2*$C455/SQRT(PI()*F$9*F$10)))</f>
        <v>0.000517947088400215</v>
      </c>
      <c r="G455" s="3" t="n">
        <f aca="false">G$8*G$10*(1-EXP(-2*$C455/SQRT(PI()*G$9*G$10)))</f>
        <v>0.000260510749065525</v>
      </c>
      <c r="H455" s="3" t="n">
        <f aca="false">H$8*H$10*(1-EXP(-2*$C455/SQRT(PI()*H$9*H$10)))</f>
        <v>5.21465123404562E-005</v>
      </c>
    </row>
    <row r="456" customFormat="false" ht="15.75" hidden="false" customHeight="false" outlineLevel="0" collapsed="false">
      <c r="C456" s="0" t="n">
        <v>44.4</v>
      </c>
      <c r="D456" s="3" t="n">
        <f aca="false">D$8*D$10*(1-EXP(-2*$C456/SQRT(PI()*D$9*D$10)))</f>
        <v>0.000521465125898667</v>
      </c>
      <c r="E456" s="3" t="n">
        <f aca="false">E$8*E$10*(1-EXP(-2*$C456/SQRT(PI()*E$9*E$10)))</f>
        <v>0.000521028522307718</v>
      </c>
      <c r="F456" s="3" t="n">
        <f aca="false">F$8*F$10*(1-EXP(-2*$C456/SQRT(PI()*F$9*F$10)))</f>
        <v>0.0005179865628476</v>
      </c>
      <c r="G456" s="3" t="n">
        <f aca="false">G$8*G$10*(1-EXP(-2*$C456/SQRT(PI()*G$9*G$10)))</f>
        <v>0.000260514261153859</v>
      </c>
      <c r="H456" s="3" t="n">
        <f aca="false">H$8*H$10*(1-EXP(-2*$C456/SQRT(PI()*H$9*H$10)))</f>
        <v>5.21465125898667E-005</v>
      </c>
    </row>
    <row r="457" customFormat="false" ht="15.75" hidden="false" customHeight="false" outlineLevel="0" collapsed="false">
      <c r="C457" s="0" t="n">
        <v>44.5</v>
      </c>
      <c r="D457" s="3" t="n">
        <f aca="false">D$8*D$10*(1-EXP(-2*$C457/SQRT(PI()*D$9*D$10)))</f>
        <v>0.000521465128305345</v>
      </c>
      <c r="E457" s="3" t="n">
        <f aca="false">E$8*E$10*(1-EXP(-2*$C457/SQRT(PI()*E$9*E$10)))</f>
        <v>0.000521035435284351</v>
      </c>
      <c r="F457" s="3" t="n">
        <f aca="false">F$8*F$10*(1-EXP(-2*$C457/SQRT(PI()*F$9*F$10)))</f>
        <v>0.000518025594377139</v>
      </c>
      <c r="G457" s="3" t="n">
        <f aca="false">G$8*G$10*(1-EXP(-2*$C457/SQRT(PI()*G$9*G$10)))</f>
        <v>0.000260517717642175</v>
      </c>
      <c r="H457" s="3" t="n">
        <f aca="false">H$8*H$10*(1-EXP(-2*$C457/SQRT(PI()*H$9*H$10)))</f>
        <v>5.21465128305345E-005</v>
      </c>
    </row>
    <row r="458" customFormat="false" ht="15.75" hidden="false" customHeight="false" outlineLevel="0" collapsed="false">
      <c r="C458" s="0" t="n">
        <v>44.6</v>
      </c>
      <c r="D458" s="3" t="n">
        <f aca="false">D$8*D$10*(1-EXP(-2*$C458/SQRT(PI()*D$9*D$10)))</f>
        <v>0.000521465130627661</v>
      </c>
      <c r="E458" s="3" t="n">
        <f aca="false">E$8*E$10*(1-EXP(-2*$C458/SQRT(PI()*E$9*E$10)))</f>
        <v>0.000521042238821362</v>
      </c>
      <c r="F458" s="3" t="n">
        <f aca="false">F$8*F$10*(1-EXP(-2*$C458/SQRT(PI()*F$9*F$10)))</f>
        <v>0.000518064187958535</v>
      </c>
      <c r="G458" s="3" t="n">
        <f aca="false">G$8*G$10*(1-EXP(-2*$C458/SQRT(PI()*G$9*G$10)))</f>
        <v>0.000260521119410681</v>
      </c>
      <c r="H458" s="3" t="n">
        <f aca="false">H$8*H$10*(1-EXP(-2*$C458/SQRT(PI()*H$9*H$10)))</f>
        <v>5.21465130627661E-005</v>
      </c>
    </row>
    <row r="459" customFormat="false" ht="15.75" hidden="false" customHeight="false" outlineLevel="0" collapsed="false">
      <c r="C459" s="0" t="n">
        <v>44.7</v>
      </c>
      <c r="D459" s="3" t="n">
        <f aca="false">D$8*D$10*(1-EXP(-2*$C459/SQRT(PI()*D$9*D$10)))</f>
        <v>0.000521465132868572</v>
      </c>
      <c r="E459" s="3" t="n">
        <f aca="false">E$8*E$10*(1-EXP(-2*$C459/SQRT(PI()*E$9*E$10)))</f>
        <v>0.000521048934651294</v>
      </c>
      <c r="F459" s="3" t="n">
        <f aca="false">F$8*F$10*(1-EXP(-2*$C459/SQRT(PI()*F$9*F$10)))</f>
        <v>0.000518102348505727</v>
      </c>
      <c r="G459" s="3" t="n">
        <f aca="false">G$8*G$10*(1-EXP(-2*$C459/SQRT(PI()*G$9*G$10)))</f>
        <v>0.000260524467325647</v>
      </c>
      <c r="H459" s="3" t="n">
        <f aca="false">H$8*H$10*(1-EXP(-2*$C459/SQRT(PI()*H$9*H$10)))</f>
        <v>5.21465132868572E-005</v>
      </c>
    </row>
    <row r="460" customFormat="false" ht="15.75" hidden="false" customHeight="false" outlineLevel="0" collapsed="false">
      <c r="C460" s="0" t="n">
        <v>44.8</v>
      </c>
      <c r="D460" s="3" t="n">
        <f aca="false">D$8*D$10*(1-EXP(-2*$C460/SQRT(PI()*D$9*D$10)))</f>
        <v>0.000521465135030931</v>
      </c>
      <c r="E460" s="3" t="n">
        <f aca="false">E$8*E$10*(1-EXP(-2*$C460/SQRT(PI()*E$9*E$10)))</f>
        <v>0.000521055524479263</v>
      </c>
      <c r="F460" s="3" t="n">
        <f aca="false">F$8*F$10*(1-EXP(-2*$C460/SQRT(PI()*F$9*F$10)))</f>
        <v>0.000518140080877519</v>
      </c>
      <c r="G460" s="3" t="n">
        <f aca="false">G$8*G$10*(1-EXP(-2*$C460/SQRT(PI()*G$9*G$10)))</f>
        <v>0.000260527762239631</v>
      </c>
      <c r="H460" s="3" t="n">
        <f aca="false">H$8*H$10*(1-EXP(-2*$C460/SQRT(PI()*H$9*H$10)))</f>
        <v>5.21465135030931E-005</v>
      </c>
    </row>
    <row r="461" customFormat="false" ht="15.75" hidden="false" customHeight="false" outlineLevel="0" collapsed="false">
      <c r="C461" s="0" t="n">
        <v>44.9</v>
      </c>
      <c r="D461" s="3" t="n">
        <f aca="false">D$8*D$10*(1-EXP(-2*$C461/SQRT(PI()*D$9*D$10)))</f>
        <v>0.000521465137117492</v>
      </c>
      <c r="E461" s="3" t="n">
        <f aca="false">E$8*E$10*(1-EXP(-2*$C461/SQRT(PI()*E$9*E$10)))</f>
        <v>0.000521062009983389</v>
      </c>
      <c r="F461" s="3" t="n">
        <f aca="false">F$8*F$10*(1-EXP(-2*$C461/SQRT(PI()*F$9*F$10)))</f>
        <v>0.000518177389878196</v>
      </c>
      <c r="G461" s="3" t="n">
        <f aca="false">G$8*G$10*(1-EXP(-2*$C461/SQRT(PI()*G$9*G$10)))</f>
        <v>0.000260531004991694</v>
      </c>
      <c r="H461" s="3" t="n">
        <f aca="false">H$8*H$10*(1-EXP(-2*$C461/SQRT(PI()*H$9*H$10)))</f>
        <v>5.21465137117492E-005</v>
      </c>
    </row>
    <row r="462" customFormat="false" ht="15.75" hidden="false" customHeight="false" outlineLevel="0" collapsed="false">
      <c r="C462" s="0" t="n">
        <v>45</v>
      </c>
      <c r="D462" s="3" t="n">
        <f aca="false">D$8*D$10*(1-EXP(-2*$C462/SQRT(PI()*D$9*D$10)))</f>
        <v>0.000521465139130913</v>
      </c>
      <c r="E462" s="3" t="n">
        <f aca="false">E$8*E$10*(1-EXP(-2*$C462/SQRT(PI()*E$9*E$10)))</f>
        <v>0.000521068392815228</v>
      </c>
      <c r="F462" s="3" t="n">
        <f aca="false">F$8*F$10*(1-EXP(-2*$C462/SQRT(PI()*F$9*F$10)))</f>
        <v>0.000518214280258138</v>
      </c>
      <c r="G462" s="3" t="n">
        <f aca="false">G$8*G$10*(1-EXP(-2*$C462/SQRT(PI()*G$9*G$10)))</f>
        <v>0.000260534196407614</v>
      </c>
      <c r="H462" s="3" t="n">
        <f aca="false">H$8*H$10*(1-EXP(-2*$C462/SQRT(PI()*H$9*H$10)))</f>
        <v>5.21465139130913E-005</v>
      </c>
    </row>
    <row r="463" customFormat="false" ht="15.75" hidden="false" customHeight="false" outlineLevel="0" collapsed="false">
      <c r="C463" s="0" t="n">
        <v>45.1</v>
      </c>
      <c r="D463" s="3" t="n">
        <f aca="false">D$8*D$10*(1-EXP(-2*$C463/SQRT(PI()*D$9*D$10)))</f>
        <v>0.000521465141073756</v>
      </c>
      <c r="E463" s="3" t="n">
        <f aca="false">E$8*E$10*(1-EXP(-2*$C463/SQRT(PI()*E$9*E$10)))</f>
        <v>0.000521074674600189</v>
      </c>
      <c r="F463" s="3" t="n">
        <f aca="false">F$8*F$10*(1-EXP(-2*$C463/SQRT(PI()*F$9*F$10)))</f>
        <v>0.000518250756714425</v>
      </c>
      <c r="G463" s="3" t="n">
        <f aca="false">G$8*G$10*(1-EXP(-2*$C463/SQRT(PI()*G$9*G$10)))</f>
        <v>0.000260537337300094</v>
      </c>
      <c r="H463" s="3" t="n">
        <f aca="false">H$8*H$10*(1-EXP(-2*$C463/SQRT(PI()*H$9*H$10)))</f>
        <v>5.21465141073756E-005</v>
      </c>
    </row>
    <row r="464" customFormat="false" ht="15.75" hidden="false" customHeight="false" outlineLevel="0" collapsed="false">
      <c r="C464" s="0" t="n">
        <v>45.2</v>
      </c>
      <c r="D464" s="3" t="n">
        <f aca="false">D$8*D$10*(1-EXP(-2*$C464/SQRT(PI()*D$9*D$10)))</f>
        <v>0.000521465142948496</v>
      </c>
      <c r="E464" s="3" t="n">
        <f aca="false">E$8*E$10*(1-EXP(-2*$C464/SQRT(PI()*E$9*E$10)))</f>
        <v>0.00052108085693795</v>
      </c>
      <c r="F464" s="3" t="n">
        <f aca="false">F$8*F$10*(1-EXP(-2*$C464/SQRT(PI()*F$9*F$10)))</f>
        <v>0.000518286823891431</v>
      </c>
      <c r="G464" s="3" t="n">
        <f aca="false">G$8*G$10*(1-EXP(-2*$C464/SQRT(PI()*G$9*G$10)))</f>
        <v>0.000260540428468975</v>
      </c>
      <c r="H464" s="3" t="n">
        <f aca="false">H$8*H$10*(1-EXP(-2*$C464/SQRT(PI()*H$9*H$10)))</f>
        <v>5.21465142948496E-005</v>
      </c>
    </row>
    <row r="465" customFormat="false" ht="15.75" hidden="false" customHeight="false" outlineLevel="0" collapsed="false">
      <c r="C465" s="0" t="n">
        <v>45.3</v>
      </c>
      <c r="D465" s="3" t="n">
        <f aca="false">D$8*D$10*(1-EXP(-2*$C465/SQRT(PI()*D$9*D$10)))</f>
        <v>0.00052146514475752</v>
      </c>
      <c r="E465" s="3" t="n">
        <f aca="false">E$8*E$10*(1-EXP(-2*$C465/SQRT(PI()*E$9*E$10)))</f>
        <v>0.000521086941402862</v>
      </c>
      <c r="F465" s="3" t="n">
        <f aca="false">F$8*F$10*(1-EXP(-2*$C465/SQRT(PI()*F$9*F$10)))</f>
        <v>0.000518322486381422</v>
      </c>
      <c r="G465" s="3" t="n">
        <f aca="false">G$8*G$10*(1-EXP(-2*$C465/SQRT(PI()*G$9*G$10)))</f>
        <v>0.000260543470701431</v>
      </c>
      <c r="H465" s="3" t="n">
        <f aca="false">H$8*H$10*(1-EXP(-2*$C465/SQRT(PI()*H$9*H$10)))</f>
        <v>5.2146514475752E-005</v>
      </c>
    </row>
    <row r="466" customFormat="false" ht="15.75" hidden="false" customHeight="false" outlineLevel="0" collapsed="false">
      <c r="C466" s="0" t="n">
        <v>45.4</v>
      </c>
      <c r="D466" s="3" t="n">
        <f aca="false">D$8*D$10*(1-EXP(-2*$C466/SQRT(PI()*D$9*D$10)))</f>
        <v>0.000521465146503131</v>
      </c>
      <c r="E466" s="3" t="n">
        <f aca="false">E$8*E$10*(1-EXP(-2*$C466/SQRT(PI()*E$9*E$10)))</f>
        <v>0.000521092929544357</v>
      </c>
      <c r="F466" s="3" t="n">
        <f aca="false">F$8*F$10*(1-EXP(-2*$C466/SQRT(PI()*F$9*F$10)))</f>
        <v>0.000518357748725134</v>
      </c>
      <c r="G466" s="3" t="n">
        <f aca="false">G$8*G$10*(1-EXP(-2*$C466/SQRT(PI()*G$9*G$10)))</f>
        <v>0.000260546464772178</v>
      </c>
      <c r="H466" s="3" t="n">
        <f aca="false">H$8*H$10*(1-EXP(-2*$C466/SQRT(PI()*H$9*H$10)))</f>
        <v>5.21465146503131E-005</v>
      </c>
    </row>
    <row r="467" customFormat="false" ht="15.75" hidden="false" customHeight="false" outlineLevel="0" collapsed="false">
      <c r="C467" s="0" t="n">
        <v>45.5</v>
      </c>
      <c r="D467" s="3" t="n">
        <f aca="false">D$8*D$10*(1-EXP(-2*$C467/SQRT(PI()*D$9*D$10)))</f>
        <v>0.000521465148187554</v>
      </c>
      <c r="E467" s="3" t="n">
        <f aca="false">E$8*E$10*(1-EXP(-2*$C467/SQRT(PI()*E$9*E$10)))</f>
        <v>0.000521098822887333</v>
      </c>
      <c r="F467" s="3" t="n">
        <f aca="false">F$8*F$10*(1-EXP(-2*$C467/SQRT(PI()*F$9*F$10)))</f>
        <v>0.000518392615412357</v>
      </c>
      <c r="G467" s="3" t="n">
        <f aca="false">G$8*G$10*(1-EXP(-2*$C467/SQRT(PI()*G$9*G$10)))</f>
        <v>0.000260549411443666</v>
      </c>
      <c r="H467" s="3" t="n">
        <f aca="false">H$8*H$10*(1-EXP(-2*$C467/SQRT(PI()*H$9*H$10)))</f>
        <v>5.21465148187553E-005</v>
      </c>
    </row>
    <row r="468" customFormat="false" ht="15.75" hidden="false" customHeight="false" outlineLevel="0" collapsed="false">
      <c r="C468" s="0" t="n">
        <v>45.6</v>
      </c>
      <c r="D468" s="3" t="n">
        <f aca="false">D$8*D$10*(1-EXP(-2*$C468/SQRT(PI()*D$9*D$10)))</f>
        <v>0.000521465149812931</v>
      </c>
      <c r="E468" s="3" t="n">
        <f aca="false">E$8*E$10*(1-EXP(-2*$C468/SQRT(PI()*E$9*E$10)))</f>
        <v>0.000521104622932549</v>
      </c>
      <c r="F468" s="3" t="n">
        <f aca="false">F$8*F$10*(1-EXP(-2*$C468/SQRT(PI()*F$9*F$10)))</f>
        <v>0.000518427090882502</v>
      </c>
      <c r="G468" s="3" t="n">
        <f aca="false">G$8*G$10*(1-EXP(-2*$C468/SQRT(PI()*G$9*G$10)))</f>
        <v>0.000260552311466275</v>
      </c>
      <c r="H468" s="3" t="n">
        <f aca="false">H$8*H$10*(1-EXP(-2*$C468/SQRT(PI()*H$9*H$10)))</f>
        <v>5.21465149812931E-005</v>
      </c>
    </row>
    <row r="469" customFormat="false" ht="15.75" hidden="false" customHeight="false" outlineLevel="0" collapsed="false">
      <c r="C469" s="0" t="n">
        <v>45.7</v>
      </c>
      <c r="D469" s="3" t="n">
        <f aca="false">D$8*D$10*(1-EXP(-2*$C469/SQRT(PI()*D$9*D$10)))</f>
        <v>0.000521465151381333</v>
      </c>
      <c r="E469" s="3" t="n">
        <f aca="false">E$8*E$10*(1-EXP(-2*$C469/SQRT(PI()*E$9*E$10)))</f>
        <v>0.000521110331157007</v>
      </c>
      <c r="F469" s="3" t="n">
        <f aca="false">F$8*F$10*(1-EXP(-2*$C469/SQRT(PI()*F$9*F$10)))</f>
        <v>0.000518461179525169</v>
      </c>
      <c r="G469" s="3" t="n">
        <f aca="false">G$8*G$10*(1-EXP(-2*$C469/SQRT(PI()*G$9*G$10)))</f>
        <v>0.000260555165578504</v>
      </c>
      <c r="H469" s="3" t="n">
        <f aca="false">H$8*H$10*(1-EXP(-2*$C469/SQRT(PI()*H$9*H$10)))</f>
        <v>5.21465151381333E-005</v>
      </c>
    </row>
    <row r="470" customFormat="false" ht="15.75" hidden="false" customHeight="false" outlineLevel="0" collapsed="false">
      <c r="C470" s="0" t="n">
        <v>45.8</v>
      </c>
      <c r="D470" s="3" t="n">
        <f aca="false">D$8*D$10*(1-EXP(-2*$C470/SQRT(PI()*D$9*D$10)))</f>
        <v>0.000521465152894758</v>
      </c>
      <c r="E470" s="3" t="n">
        <f aca="false">E$8*E$10*(1-EXP(-2*$C470/SQRT(PI()*E$9*E$10)))</f>
        <v>0.000521115949014325</v>
      </c>
      <c r="F470" s="3" t="n">
        <f aca="false">F$8*F$10*(1-EXP(-2*$C470/SQRT(PI()*F$9*F$10)))</f>
        <v>0.000518494885680704</v>
      </c>
      <c r="G470" s="3" t="n">
        <f aca="false">G$8*G$10*(1-EXP(-2*$C470/SQRT(PI()*G$9*G$10)))</f>
        <v>0.000260557974507163</v>
      </c>
      <c r="H470" s="3" t="n">
        <f aca="false">H$8*H$10*(1-EXP(-2*$C470/SQRT(PI()*H$9*H$10)))</f>
        <v>5.21465152894758E-005</v>
      </c>
    </row>
    <row r="471" customFormat="false" ht="15.75" hidden="false" customHeight="false" outlineLevel="0" collapsed="false">
      <c r="C471" s="0" t="n">
        <v>45.9</v>
      </c>
      <c r="D471" s="3" t="n">
        <f aca="false">D$8*D$10*(1-EXP(-2*$C471/SQRT(PI()*D$9*D$10)))</f>
        <v>0.000521465154355132</v>
      </c>
      <c r="E471" s="3" t="n">
        <f aca="false">E$8*E$10*(1-EXP(-2*$C471/SQRT(PI()*E$9*E$10)))</f>
        <v>0.000521121477935109</v>
      </c>
      <c r="F471" s="3" t="n">
        <f aca="false">F$8*F$10*(1-EXP(-2*$C471/SQRT(PI()*F$9*F$10)))</f>
        <v>0.000518528213640755</v>
      </c>
      <c r="G471" s="3" t="n">
        <f aca="false">G$8*G$10*(1-EXP(-2*$C471/SQRT(PI()*G$9*G$10)))</f>
        <v>0.000260560738967555</v>
      </c>
      <c r="H471" s="3" t="n">
        <f aca="false">H$8*H$10*(1-EXP(-2*$C471/SQRT(PI()*H$9*H$10)))</f>
        <v>5.21465154355132E-005</v>
      </c>
    </row>
    <row r="472" customFormat="false" ht="15.75" hidden="false" customHeight="false" outlineLevel="0" collapsed="false">
      <c r="C472" s="0" t="n">
        <v>46</v>
      </c>
      <c r="D472" s="3" t="n">
        <f aca="false">D$8*D$10*(1-EXP(-2*$C472/SQRT(PI()*D$9*D$10)))</f>
        <v>0.000521465155764315</v>
      </c>
      <c r="E472" s="3" t="n">
        <f aca="false">E$8*E$10*(1-EXP(-2*$C472/SQRT(PI()*E$9*E$10)))</f>
        <v>0.000521126919327317</v>
      </c>
      <c r="F472" s="3" t="n">
        <f aca="false">F$8*F$10*(1-EXP(-2*$C472/SQRT(PI()*F$9*F$10)))</f>
        <v>0.000518561167648813</v>
      </c>
      <c r="G472" s="3" t="n">
        <f aca="false">G$8*G$10*(1-EXP(-2*$C472/SQRT(PI()*G$9*G$10)))</f>
        <v>0.000260563459663658</v>
      </c>
      <c r="H472" s="3" t="n">
        <f aca="false">H$8*H$10*(1-EXP(-2*$C472/SQRT(PI()*H$9*H$10)))</f>
        <v>5.21465155764315E-005</v>
      </c>
    </row>
    <row r="473" customFormat="false" ht="15.75" hidden="false" customHeight="false" outlineLevel="0" collapsed="false">
      <c r="C473" s="0" t="n">
        <v>46.1</v>
      </c>
      <c r="D473" s="3" t="n">
        <f aca="false">D$8*D$10*(1-EXP(-2*$C473/SQRT(PI()*D$9*D$10)))</f>
        <v>0.000521465157124101</v>
      </c>
      <c r="E473" s="3" t="n">
        <f aca="false">E$8*E$10*(1-EXP(-2*$C473/SQRT(PI()*E$9*E$10)))</f>
        <v>0.000521132274576616</v>
      </c>
      <c r="F473" s="3" t="n">
        <f aca="false">F$8*F$10*(1-EXP(-2*$C473/SQRT(PI()*F$9*F$10)))</f>
        <v>0.000518593751900759</v>
      </c>
      <c r="G473" s="3" t="n">
        <f aca="false">G$8*G$10*(1-EXP(-2*$C473/SQRT(PI()*G$9*G$10)))</f>
        <v>0.000260566137288308</v>
      </c>
      <c r="H473" s="3" t="n">
        <f aca="false">H$8*H$10*(1-EXP(-2*$C473/SQRT(PI()*H$9*H$10)))</f>
        <v>5.21465157124101E-005</v>
      </c>
    </row>
    <row r="474" customFormat="false" ht="15.75" hidden="false" customHeight="false" outlineLevel="0" collapsed="false">
      <c r="C474" s="0" t="n">
        <v>46.2</v>
      </c>
      <c r="D474" s="3" t="n">
        <f aca="false">D$8*D$10*(1-EXP(-2*$C474/SQRT(PI()*D$9*D$10)))</f>
        <v>0.000521465158436223</v>
      </c>
      <c r="E474" s="3" t="n">
        <f aca="false">E$8*E$10*(1-EXP(-2*$C474/SQRT(PI()*E$9*E$10)))</f>
        <v>0.000521137545046741</v>
      </c>
      <c r="F474" s="3" t="n">
        <f aca="false">F$8*F$10*(1-EXP(-2*$C474/SQRT(PI()*F$9*F$10)))</f>
        <v>0.000518625970545391</v>
      </c>
      <c r="G474" s="3" t="n">
        <f aca="false">G$8*G$10*(1-EXP(-2*$C474/SQRT(PI()*G$9*G$10)))</f>
        <v>0.00026056877252337</v>
      </c>
      <c r="H474" s="3" t="n">
        <f aca="false">H$8*H$10*(1-EXP(-2*$C474/SQRT(PI()*H$9*H$10)))</f>
        <v>5.21465158436223E-005</v>
      </c>
    </row>
    <row r="475" customFormat="false" ht="15.75" hidden="false" customHeight="false" outlineLevel="0" collapsed="false">
      <c r="C475" s="0" t="n">
        <v>46.3</v>
      </c>
      <c r="D475" s="3" t="n">
        <f aca="false">D$8*D$10*(1-EXP(-2*$C475/SQRT(PI()*D$9*D$10)))</f>
        <v>0.00052146515970235</v>
      </c>
      <c r="E475" s="3" t="n">
        <f aca="false">E$8*E$10*(1-EXP(-2*$C475/SQRT(PI()*E$9*E$10)))</f>
        <v>0.000521142732079832</v>
      </c>
      <c r="F475" s="3" t="n">
        <f aca="false">F$8*F$10*(1-EXP(-2*$C475/SQRT(PI()*F$9*F$10)))</f>
        <v>0.00051865782768496</v>
      </c>
      <c r="G475" s="3" t="n">
        <f aca="false">G$8*G$10*(1-EXP(-2*$C475/SQRT(PI()*G$9*G$10)))</f>
        <v>0.000260571366039916</v>
      </c>
      <c r="H475" s="3" t="n">
        <f aca="false">H$8*H$10*(1-EXP(-2*$C475/SQRT(PI()*H$9*H$10)))</f>
        <v>5.2146515970235E-005</v>
      </c>
    </row>
    <row r="476" customFormat="false" ht="15.75" hidden="false" customHeight="false" outlineLevel="0" collapsed="false">
      <c r="C476" s="0" t="n">
        <v>46.4</v>
      </c>
      <c r="D476" s="3" t="n">
        <f aca="false">D$8*D$10*(1-EXP(-2*$C476/SQRT(PI()*D$9*D$10)))</f>
        <v>0.000521465160924095</v>
      </c>
      <c r="E476" s="3" t="n">
        <f aca="false">E$8*E$10*(1-EXP(-2*$C476/SQRT(PI()*E$9*E$10)))</f>
        <v>0.000521147836996785</v>
      </c>
      <c r="F476" s="3" t="n">
        <f aca="false">F$8*F$10*(1-EXP(-2*$C476/SQRT(PI()*F$9*F$10)))</f>
        <v>0.000518689327375683</v>
      </c>
      <c r="G476" s="3" t="n">
        <f aca="false">G$8*G$10*(1-EXP(-2*$C476/SQRT(PI()*G$9*G$10)))</f>
        <v>0.000260573918498393</v>
      </c>
      <c r="H476" s="3" t="n">
        <f aca="false">H$8*H$10*(1-EXP(-2*$C476/SQRT(PI()*H$9*H$10)))</f>
        <v>5.21465160924095E-005</v>
      </c>
    </row>
    <row r="477" customFormat="false" ht="15.75" hidden="false" customHeight="false" outlineLevel="0" collapsed="false">
      <c r="C477" s="0" t="n">
        <v>46.5</v>
      </c>
      <c r="D477" s="3" t="n">
        <f aca="false">D$8*D$10*(1-EXP(-2*$C477/SQRT(PI()*D$9*D$10)))</f>
        <v>0.000521465162103014</v>
      </c>
      <c r="E477" s="3" t="n">
        <f aca="false">E$8*E$10*(1-EXP(-2*$C477/SQRT(PI()*E$9*E$10)))</f>
        <v>0.000521152861097584</v>
      </c>
      <c r="F477" s="3" t="n">
        <f aca="false">F$8*F$10*(1-EXP(-2*$C477/SQRT(PI()*F$9*F$10)))</f>
        <v>0.00051872047362827</v>
      </c>
      <c r="G477" s="3" t="n">
        <f aca="false">G$8*G$10*(1-EXP(-2*$C477/SQRT(PI()*G$9*G$10)))</f>
        <v>0.000260576430548792</v>
      </c>
      <c r="H477" s="3" t="n">
        <f aca="false">H$8*H$10*(1-EXP(-2*$C477/SQRT(PI()*H$9*H$10)))</f>
        <v>5.21465162103014E-005</v>
      </c>
    </row>
    <row r="478" customFormat="false" ht="15.75" hidden="false" customHeight="false" outlineLevel="0" collapsed="false">
      <c r="C478" s="0" t="n">
        <v>46.6</v>
      </c>
      <c r="D478" s="3" t="n">
        <f aca="false">D$8*D$10*(1-EXP(-2*$C478/SQRT(PI()*D$9*D$10)))</f>
        <v>0.000521465163240607</v>
      </c>
      <c r="E478" s="3" t="n">
        <f aca="false">E$8*E$10*(1-EXP(-2*$C478/SQRT(PI()*E$9*E$10)))</f>
        <v>0.000521157805661634</v>
      </c>
      <c r="F478" s="3" t="n">
        <f aca="false">F$8*F$10*(1-EXP(-2*$C478/SQRT(PI()*F$9*F$10)))</f>
        <v>0.000518751270408427</v>
      </c>
      <c r="G478" s="3" t="n">
        <f aca="false">G$8*G$10*(1-EXP(-2*$C478/SQRT(PI()*G$9*G$10)))</f>
        <v>0.000260578902830817</v>
      </c>
      <c r="H478" s="3" t="n">
        <f aca="false">H$8*H$10*(1-EXP(-2*$C478/SQRT(PI()*H$9*H$10)))</f>
        <v>5.21465163240607E-005</v>
      </c>
    </row>
    <row r="479" customFormat="false" ht="15.75" hidden="false" customHeight="false" outlineLevel="0" collapsed="false">
      <c r="C479" s="0" t="n">
        <v>46.7</v>
      </c>
      <c r="D479" s="3" t="n">
        <f aca="false">D$8*D$10*(1-EXP(-2*$C479/SQRT(PI()*D$9*D$10)))</f>
        <v>0.000521465164338324</v>
      </c>
      <c r="E479" s="3" t="n">
        <f aca="false">E$8*E$10*(1-EXP(-2*$C479/SQRT(PI()*E$9*E$10)))</f>
        <v>0.000521162671948083</v>
      </c>
      <c r="F479" s="3" t="n">
        <f aca="false">F$8*F$10*(1-EXP(-2*$C479/SQRT(PI()*F$9*F$10)))</f>
        <v>0.000518781721637363</v>
      </c>
      <c r="G479" s="3" t="n">
        <f aca="false">G$8*G$10*(1-EXP(-2*$C479/SQRT(PI()*G$9*G$10)))</f>
        <v>0.000260581335974042</v>
      </c>
      <c r="H479" s="3" t="n">
        <f aca="false">H$8*H$10*(1-EXP(-2*$C479/SQRT(PI()*H$9*H$10)))</f>
        <v>5.21465164338324E-005</v>
      </c>
    </row>
    <row r="480" customFormat="false" ht="15.75" hidden="false" customHeight="false" outlineLevel="0" collapsed="false">
      <c r="C480" s="0" t="n">
        <v>46.8</v>
      </c>
      <c r="D480" s="3" t="n">
        <f aca="false">D$8*D$10*(1-EXP(-2*$C480/SQRT(PI()*D$9*D$10)))</f>
        <v>0.000521465165397563</v>
      </c>
      <c r="E480" s="3" t="n">
        <f aca="false">E$8*E$10*(1-EXP(-2*$C480/SQRT(PI()*E$9*E$10)))</f>
        <v>0.000521167461196148</v>
      </c>
      <c r="F480" s="3" t="n">
        <f aca="false">F$8*F$10*(1-EXP(-2*$C480/SQRT(PI()*F$9*F$10)))</f>
        <v>0.00051881183119229</v>
      </c>
      <c r="G480" s="3" t="n">
        <f aca="false">G$8*G$10*(1-EXP(-2*$C480/SQRT(PI()*G$9*G$10)))</f>
        <v>0.000260583730598074</v>
      </c>
      <c r="H480" s="3" t="n">
        <f aca="false">H$8*H$10*(1-EXP(-2*$C480/SQRT(PI()*H$9*H$10)))</f>
        <v>5.21465165397563E-005</v>
      </c>
    </row>
    <row r="481" customFormat="false" ht="15.75" hidden="false" customHeight="false" outlineLevel="0" collapsed="false">
      <c r="C481" s="0" t="n">
        <v>46.9</v>
      </c>
      <c r="D481" s="3" t="n">
        <f aca="false">D$8*D$10*(1-EXP(-2*$C481/SQRT(PI()*D$9*D$10)))</f>
        <v>0.000521465166419672</v>
      </c>
      <c r="E481" s="3" t="n">
        <f aca="false">E$8*E$10*(1-EXP(-2*$C481/SQRT(PI()*E$9*E$10)))</f>
        <v>0.000521172174625426</v>
      </c>
      <c r="F481" s="3" t="n">
        <f aca="false">F$8*F$10*(1-EXP(-2*$C481/SQRT(PI()*F$9*F$10)))</f>
        <v>0.000518841602906915</v>
      </c>
      <c r="G481" s="3" t="n">
        <f aca="false">G$8*G$10*(1-EXP(-2*$C481/SQRT(PI()*G$9*G$10)))</f>
        <v>0.000260586087312713</v>
      </c>
      <c r="H481" s="3" t="n">
        <f aca="false">H$8*H$10*(1-EXP(-2*$C481/SQRT(PI()*H$9*H$10)))</f>
        <v>5.21465166419672E-005</v>
      </c>
    </row>
    <row r="482" customFormat="false" ht="15.75" hidden="false" customHeight="false" outlineLevel="0" collapsed="false">
      <c r="C482" s="0" t="n">
        <v>47</v>
      </c>
      <c r="D482" s="3" t="n">
        <f aca="false">D$8*D$10*(1-EXP(-2*$C482/SQRT(PI()*D$9*D$10)))</f>
        <v>0.000521465167405952</v>
      </c>
      <c r="E482" s="3" t="n">
        <f aca="false">E$8*E$10*(1-EXP(-2*$C482/SQRT(PI()*E$9*E$10)))</f>
        <v>0.000521176813436209</v>
      </c>
      <c r="F482" s="3" t="n">
        <f aca="false">F$8*F$10*(1-EXP(-2*$C482/SQRT(PI()*F$9*F$10)))</f>
        <v>0.000518871040571933</v>
      </c>
      <c r="G482" s="3" t="n">
        <f aca="false">G$8*G$10*(1-EXP(-2*$C482/SQRT(PI()*G$9*G$10)))</f>
        <v>0.000260588406718104</v>
      </c>
      <c r="H482" s="3" t="n">
        <f aca="false">H$8*H$10*(1-EXP(-2*$C482/SQRT(PI()*H$9*H$10)))</f>
        <v>5.21465167405952E-005</v>
      </c>
    </row>
    <row r="483" customFormat="false" ht="15.75" hidden="false" customHeight="false" outlineLevel="0" collapsed="false">
      <c r="C483" s="0" t="n">
        <v>47.1</v>
      </c>
      <c r="D483" s="3" t="n">
        <f aca="false">D$8*D$10*(1-EXP(-2*$C483/SQRT(PI()*D$9*D$10)))</f>
        <v>0.00052146516835766</v>
      </c>
      <c r="E483" s="3" t="n">
        <f aca="false">E$8*E$10*(1-EXP(-2*$C483/SQRT(PI()*E$9*E$10)))</f>
        <v>0.000521181378809783</v>
      </c>
      <c r="F483" s="3" t="n">
        <f aca="false">F$8*F$10*(1-EXP(-2*$C483/SQRT(PI()*F$9*F$10)))</f>
        <v>0.000518900147935503</v>
      </c>
      <c r="G483" s="3" t="n">
        <f aca="false">G$8*G$10*(1-EXP(-2*$C483/SQRT(PI()*G$9*G$10)))</f>
        <v>0.000260590689404892</v>
      </c>
      <c r="H483" s="3" t="n">
        <f aca="false">H$8*H$10*(1-EXP(-2*$C483/SQRT(PI()*H$9*H$10)))</f>
        <v>5.2146516835766E-005</v>
      </c>
    </row>
    <row r="484" customFormat="false" ht="15.75" hidden="false" customHeight="false" outlineLevel="0" collapsed="false">
      <c r="C484" s="0" t="n">
        <v>47.2</v>
      </c>
      <c r="D484" s="3" t="n">
        <f aca="false">D$8*D$10*(1-EXP(-2*$C484/SQRT(PI()*D$9*D$10)))</f>
        <v>0.000521465169276007</v>
      </c>
      <c r="E484" s="3" t="n">
        <f aca="false">E$8*E$10*(1-EXP(-2*$C484/SQRT(PI()*E$9*E$10)))</f>
        <v>0.000521185871908738</v>
      </c>
      <c r="F484" s="3" t="n">
        <f aca="false">F$8*F$10*(1-EXP(-2*$C484/SQRT(PI()*F$9*F$10)))</f>
        <v>0.000518928928703728</v>
      </c>
      <c r="G484" s="3" t="n">
        <f aca="false">G$8*G$10*(1-EXP(-2*$C484/SQRT(PI()*G$9*G$10)))</f>
        <v>0.000260592935954369</v>
      </c>
      <c r="H484" s="3" t="n">
        <f aca="false">H$8*H$10*(1-EXP(-2*$C484/SQRT(PI()*H$9*H$10)))</f>
        <v>5.21465169276007E-005</v>
      </c>
    </row>
    <row r="485" customFormat="false" ht="15.75" hidden="false" customHeight="false" outlineLevel="0" collapsed="false">
      <c r="C485" s="0" t="n">
        <v>47.3</v>
      </c>
      <c r="D485" s="3" t="n">
        <f aca="false">D$8*D$10*(1-EXP(-2*$C485/SQRT(PI()*D$9*D$10)))</f>
        <v>0.000521465170162163</v>
      </c>
      <c r="E485" s="3" t="n">
        <f aca="false">E$8*E$10*(1-EXP(-2*$C485/SQRT(PI()*E$9*E$10)))</f>
        <v>0.000521190293877255</v>
      </c>
      <c r="F485" s="3" t="n">
        <f aca="false">F$8*F$10*(1-EXP(-2*$C485/SQRT(PI()*F$9*F$10)))</f>
        <v>0.000518957386541129</v>
      </c>
      <c r="G485" s="3" t="n">
        <f aca="false">G$8*G$10*(1-EXP(-2*$C485/SQRT(PI()*G$9*G$10)))</f>
        <v>0.000260595146938628</v>
      </c>
      <c r="H485" s="3" t="n">
        <f aca="false">H$8*H$10*(1-EXP(-2*$C485/SQRT(PI()*H$9*H$10)))</f>
        <v>5.21465170162163E-005</v>
      </c>
    </row>
    <row r="486" customFormat="false" ht="15.75" hidden="false" customHeight="false" outlineLevel="0" collapsed="false">
      <c r="C486" s="0" t="n">
        <v>47.4</v>
      </c>
      <c r="D486" s="3" t="n">
        <f aca="false">D$8*D$10*(1-EXP(-2*$C486/SQRT(PI()*D$9*D$10)))</f>
        <v>0.000521465171017256</v>
      </c>
      <c r="E486" s="3" t="n">
        <f aca="false">E$8*E$10*(1-EXP(-2*$C486/SQRT(PI()*E$9*E$10)))</f>
        <v>0.000521194645841404</v>
      </c>
      <c r="F486" s="3" t="n">
        <f aca="false">F$8*F$10*(1-EXP(-2*$C486/SQRT(PI()*F$9*F$10)))</f>
        <v>0.000518985525071108</v>
      </c>
      <c r="G486" s="3" t="n">
        <f aca="false">G$8*G$10*(1-EXP(-2*$C486/SQRT(PI()*G$9*G$10)))</f>
        <v>0.000260597322920702</v>
      </c>
      <c r="H486" s="3" t="n">
        <f aca="false">H$8*H$10*(1-EXP(-2*$C486/SQRT(PI()*H$9*H$10)))</f>
        <v>5.21465171017256E-005</v>
      </c>
    </row>
    <row r="487" customFormat="false" ht="15.75" hidden="false" customHeight="false" outlineLevel="0" collapsed="false">
      <c r="C487" s="0" t="n">
        <v>47.5</v>
      </c>
      <c r="D487" s="3" t="n">
        <f aca="false">D$8*D$10*(1-EXP(-2*$C487/SQRT(PI()*D$9*D$10)))</f>
        <v>0.000521465171842376</v>
      </c>
      <c r="E487" s="3" t="n">
        <f aca="false">E$8*E$10*(1-EXP(-2*$C487/SQRT(PI()*E$9*E$10)))</f>
        <v>0.000521198928909426</v>
      </c>
      <c r="F487" s="3" t="n">
        <f aca="false">F$8*F$10*(1-EXP(-2*$C487/SQRT(PI()*F$9*F$10)))</f>
        <v>0.000519013347876413</v>
      </c>
      <c r="G487" s="3" t="n">
        <f aca="false">G$8*G$10*(1-EXP(-2*$C487/SQRT(PI()*G$9*G$10)))</f>
        <v>0.000260599464454713</v>
      </c>
      <c r="H487" s="3" t="n">
        <f aca="false">H$8*H$10*(1-EXP(-2*$C487/SQRT(PI()*H$9*H$10)))</f>
        <v>5.21465171842376E-005</v>
      </c>
    </row>
    <row r="488" customFormat="false" ht="15.75" hidden="false" customHeight="false" outlineLevel="0" collapsed="false">
      <c r="C488" s="0" t="n">
        <v>47.6</v>
      </c>
      <c r="D488" s="3" t="n">
        <f aca="false">D$8*D$10*(1-EXP(-2*$C488/SQRT(PI()*D$9*D$10)))</f>
        <v>0.000521465172638572</v>
      </c>
      <c r="E488" s="3" t="n">
        <f aca="false">E$8*E$10*(1-EXP(-2*$C488/SQRT(PI()*E$9*E$10)))</f>
        <v>0.000521203144172019</v>
      </c>
      <c r="F488" s="3" t="n">
        <f aca="false">F$8*F$10*(1-EXP(-2*$C488/SQRT(PI()*F$9*F$10)))</f>
        <v>0.00051904085849959</v>
      </c>
      <c r="G488" s="3" t="n">
        <f aca="false">G$8*G$10*(1-EXP(-2*$C488/SQRT(PI()*G$9*G$10)))</f>
        <v>0.000260601572086009</v>
      </c>
      <c r="H488" s="3" t="n">
        <f aca="false">H$8*H$10*(1-EXP(-2*$C488/SQRT(PI()*H$9*H$10)))</f>
        <v>5.21465172638572E-005</v>
      </c>
    </row>
    <row r="489" customFormat="false" ht="15.75" hidden="false" customHeight="false" outlineLevel="0" collapsed="false">
      <c r="C489" s="0" t="n">
        <v>47.7</v>
      </c>
      <c r="D489" s="3" t="n">
        <f aca="false">D$8*D$10*(1-EXP(-2*$C489/SQRT(PI()*D$9*D$10)))</f>
        <v>0.000521465173406859</v>
      </c>
      <c r="E489" s="3" t="n">
        <f aca="false">E$8*E$10*(1-EXP(-2*$C489/SQRT(PI()*E$9*E$10)))</f>
        <v>0.000521207292702614</v>
      </c>
      <c r="F489" s="3" t="n">
        <f aca="false">F$8*F$10*(1-EXP(-2*$C489/SQRT(PI()*F$9*F$10)))</f>
        <v>0.000519068060443439</v>
      </c>
      <c r="G489" s="3" t="n">
        <f aca="false">G$8*G$10*(1-EXP(-2*$C489/SQRT(PI()*G$9*G$10)))</f>
        <v>0.000260603646351307</v>
      </c>
      <c r="H489" s="3" t="n">
        <f aca="false">H$8*H$10*(1-EXP(-2*$C489/SQRT(PI()*H$9*H$10)))</f>
        <v>5.21465173406859E-005</v>
      </c>
    </row>
    <row r="490" customFormat="false" ht="15.75" hidden="false" customHeight="false" outlineLevel="0" collapsed="false">
      <c r="C490" s="0" t="n">
        <v>47.8</v>
      </c>
      <c r="D490" s="3" t="n">
        <f aca="false">D$8*D$10*(1-EXP(-2*$C490/SQRT(PI()*D$9*D$10)))</f>
        <v>0.000521465174148215</v>
      </c>
      <c r="E490" s="3" t="n">
        <f aca="false">E$8*E$10*(1-EXP(-2*$C490/SQRT(PI()*E$9*E$10)))</f>
        <v>0.000521211375557647</v>
      </c>
      <c r="F490" s="3" t="n">
        <f aca="false">F$8*F$10*(1-EXP(-2*$C490/SQRT(PI()*F$9*F$10)))</f>
        <v>0.000519094957171455</v>
      </c>
      <c r="G490" s="3" t="n">
        <f aca="false">G$8*G$10*(1-EXP(-2*$C490/SQRT(PI()*G$9*G$10)))</f>
        <v>0.000260605687778823</v>
      </c>
      <c r="H490" s="3" t="n">
        <f aca="false">H$8*H$10*(1-EXP(-2*$C490/SQRT(PI()*H$9*H$10)))</f>
        <v>5.21465174148215E-005</v>
      </c>
    </row>
    <row r="491" customFormat="false" ht="15.75" hidden="false" customHeight="false" outlineLevel="0" collapsed="false">
      <c r="C491" s="0" t="n">
        <v>47.9</v>
      </c>
      <c r="D491" s="3" t="n">
        <f aca="false">D$8*D$10*(1-EXP(-2*$C491/SQRT(PI()*D$9*D$10)))</f>
        <v>0.000521465174863584</v>
      </c>
      <c r="E491" s="3" t="n">
        <f aca="false">E$8*E$10*(1-EXP(-2*$C491/SQRT(PI()*E$9*E$10)))</f>
        <v>0.000521215393776831</v>
      </c>
      <c r="F491" s="3" t="n">
        <f aca="false">F$8*F$10*(1-EXP(-2*$C491/SQRT(PI()*F$9*F$10)))</f>
        <v>0.000519121552108271</v>
      </c>
      <c r="G491" s="3" t="n">
        <f aca="false">G$8*G$10*(1-EXP(-2*$C491/SQRT(PI()*G$9*G$10)))</f>
        <v>0.000260607696888416</v>
      </c>
      <c r="H491" s="3" t="n">
        <f aca="false">H$8*H$10*(1-EXP(-2*$C491/SQRT(PI()*H$9*H$10)))</f>
        <v>5.21465174863584E-005</v>
      </c>
    </row>
    <row r="492" customFormat="false" ht="15.75" hidden="false" customHeight="false" outlineLevel="0" collapsed="false">
      <c r="C492" s="0" t="n">
        <v>48</v>
      </c>
      <c r="D492" s="3" t="n">
        <f aca="false">D$8*D$10*(1-EXP(-2*$C492/SQRT(PI()*D$9*D$10)))</f>
        <v>0.000521465175553876</v>
      </c>
      <c r="E492" s="3" t="n">
        <f aca="false">E$8*E$10*(1-EXP(-2*$C492/SQRT(PI()*E$9*E$10)))</f>
        <v>0.00052121934838342</v>
      </c>
      <c r="F492" s="3" t="n">
        <f aca="false">F$8*F$10*(1-EXP(-2*$C492/SQRT(PI()*F$9*F$10)))</f>
        <v>0.000519147848640097</v>
      </c>
      <c r="G492" s="3" t="n">
        <f aca="false">G$8*G$10*(1-EXP(-2*$C492/SQRT(PI()*G$9*G$10)))</f>
        <v>0.00026060967419171</v>
      </c>
      <c r="H492" s="3" t="n">
        <f aca="false">H$8*H$10*(1-EXP(-2*$C492/SQRT(PI()*H$9*H$10)))</f>
        <v>5.21465175553876E-005</v>
      </c>
    </row>
    <row r="493" customFormat="false" ht="15.75" hidden="false" customHeight="false" outlineLevel="0" collapsed="false">
      <c r="C493" s="0" t="n">
        <v>48.1</v>
      </c>
      <c r="D493" s="3" t="n">
        <f aca="false">D$8*D$10*(1-EXP(-2*$C493/SQRT(PI()*D$9*D$10)))</f>
        <v>0.000521465176219972</v>
      </c>
      <c r="E493" s="3" t="n">
        <f aca="false">E$8*E$10*(1-EXP(-2*$C493/SQRT(PI()*E$9*E$10)))</f>
        <v>0.000521223240384466</v>
      </c>
      <c r="F493" s="3" t="n">
        <f aca="false">F$8*F$10*(1-EXP(-2*$C493/SQRT(PI()*F$9*F$10)))</f>
        <v>0.000519173850115147</v>
      </c>
      <c r="G493" s="3" t="n">
        <f aca="false">G$8*G$10*(1-EXP(-2*$C493/SQRT(PI()*G$9*G$10)))</f>
        <v>0.000260611620192233</v>
      </c>
      <c r="H493" s="3" t="n">
        <f aca="false">H$8*H$10*(1-EXP(-2*$C493/SQRT(PI()*H$9*H$10)))</f>
        <v>5.21465176219972E-005</v>
      </c>
    </row>
    <row r="494" customFormat="false" ht="15.75" hidden="false" customHeight="false" outlineLevel="0" collapsed="false">
      <c r="C494" s="0" t="n">
        <v>48.2</v>
      </c>
      <c r="D494" s="3" t="n">
        <f aca="false">D$8*D$10*(1-EXP(-2*$C494/SQRT(PI()*D$9*D$10)))</f>
        <v>0.000521465176862719</v>
      </c>
      <c r="E494" s="3" t="n">
        <f aca="false">E$8*E$10*(1-EXP(-2*$C494/SQRT(PI()*E$9*E$10)))</f>
        <v>0.00052122707077108</v>
      </c>
      <c r="F494" s="3" t="n">
        <f aca="false">F$8*F$10*(1-EXP(-2*$C494/SQRT(PI()*F$9*F$10)))</f>
        <v>0.000519199559844065</v>
      </c>
      <c r="G494" s="3" t="n">
        <f aca="false">G$8*G$10*(1-EXP(-2*$C494/SQRT(PI()*G$9*G$10)))</f>
        <v>0.00026061353538554</v>
      </c>
      <c r="H494" s="3" t="n">
        <f aca="false">H$8*H$10*(1-EXP(-2*$C494/SQRT(PI()*H$9*H$10)))</f>
        <v>5.21465176862719E-005</v>
      </c>
    </row>
    <row r="495" customFormat="false" ht="15.75" hidden="false" customHeight="false" outlineLevel="0" collapsed="false">
      <c r="C495" s="0" t="n">
        <v>48.3</v>
      </c>
      <c r="D495" s="3" t="n">
        <f aca="false">D$8*D$10*(1-EXP(-2*$C495/SQRT(PI()*D$9*D$10)))</f>
        <v>0.000521465177482935</v>
      </c>
      <c r="E495" s="3" t="n">
        <f aca="false">E$8*E$10*(1-EXP(-2*$C495/SQRT(PI()*E$9*E$10)))</f>
        <v>0.000521230840518684</v>
      </c>
      <c r="F495" s="3" t="n">
        <f aca="false">F$8*F$10*(1-EXP(-2*$C495/SQRT(PI()*F$9*F$10)))</f>
        <v>0.000519224981100352</v>
      </c>
      <c r="G495" s="3" t="n">
        <f aca="false">G$8*G$10*(1-EXP(-2*$C495/SQRT(PI()*G$9*G$10)))</f>
        <v>0.000260615420259342</v>
      </c>
      <c r="H495" s="3" t="n">
        <f aca="false">H$8*H$10*(1-EXP(-2*$C495/SQRT(PI()*H$9*H$10)))</f>
        <v>5.21465177482935E-005</v>
      </c>
    </row>
    <row r="496" customFormat="false" ht="15.75" hidden="false" customHeight="false" outlineLevel="0" collapsed="false">
      <c r="C496" s="0" t="n">
        <v>48.4</v>
      </c>
      <c r="D496" s="3" t="n">
        <f aca="false">D$8*D$10*(1-EXP(-2*$C496/SQRT(PI()*D$9*D$10)))</f>
        <v>0.000521465178081411</v>
      </c>
      <c r="E496" s="3" t="n">
        <f aca="false">E$8*E$10*(1-EXP(-2*$C496/SQRT(PI()*E$9*E$10)))</f>
        <v>0.000521234550587256</v>
      </c>
      <c r="F496" s="3" t="n">
        <f aca="false">F$8*F$10*(1-EXP(-2*$C496/SQRT(PI()*F$9*F$10)))</f>
        <v>0.000519250117120777</v>
      </c>
      <c r="G496" s="3" t="n">
        <f aca="false">G$8*G$10*(1-EXP(-2*$C496/SQRT(PI()*G$9*G$10)))</f>
        <v>0.000260617275293628</v>
      </c>
      <c r="H496" s="3" t="n">
        <f aca="false">H$8*H$10*(1-EXP(-2*$C496/SQRT(PI()*H$9*H$10)))</f>
        <v>5.21465178081411E-005</v>
      </c>
    </row>
    <row r="497" customFormat="false" ht="15.75" hidden="false" customHeight="false" outlineLevel="0" collapsed="false">
      <c r="C497" s="0" t="n">
        <v>48.5</v>
      </c>
      <c r="D497" s="3" t="n">
        <f aca="false">D$8*D$10*(1-EXP(-2*$C497/SQRT(PI()*D$9*D$10)))</f>
        <v>0.000521465178658908</v>
      </c>
      <c r="E497" s="3" t="n">
        <f aca="false">E$8*E$10*(1-EXP(-2*$C497/SQRT(PI()*E$9*E$10)))</f>
        <v>0.000521238201921577</v>
      </c>
      <c r="F497" s="3" t="n">
        <f aca="false">F$8*F$10*(1-EXP(-2*$C497/SQRT(PI()*F$9*F$10)))</f>
        <v>0.00051927497110579</v>
      </c>
      <c r="G497" s="3" t="n">
        <f aca="false">G$8*G$10*(1-EXP(-2*$C497/SQRT(PI()*G$9*G$10)))</f>
        <v>0.000260619100960789</v>
      </c>
      <c r="H497" s="3" t="n">
        <f aca="false">H$8*H$10*(1-EXP(-2*$C497/SQRT(PI()*H$9*H$10)))</f>
        <v>5.21465178658908E-005</v>
      </c>
    </row>
    <row r="498" customFormat="false" ht="15.75" hidden="false" customHeight="false" outlineLevel="0" collapsed="false">
      <c r="C498" s="0" t="n">
        <v>48.6</v>
      </c>
      <c r="D498" s="3" t="n">
        <f aca="false">D$8*D$10*(1-EXP(-2*$C498/SQRT(PI()*D$9*D$10)))</f>
        <v>0.000521465179216161</v>
      </c>
      <c r="E498" s="3" t="n">
        <f aca="false">E$8*E$10*(1-EXP(-2*$C498/SQRT(PI()*E$9*E$10)))</f>
        <v>0.000521241795451472</v>
      </c>
      <c r="F498" s="3" t="n">
        <f aca="false">F$8*F$10*(1-EXP(-2*$C498/SQRT(PI()*F$9*F$10)))</f>
        <v>0.000519299546219934</v>
      </c>
      <c r="G498" s="3" t="n">
        <f aca="false">G$8*G$10*(1-EXP(-2*$C498/SQRT(PI()*G$9*G$10)))</f>
        <v>0.000260620897725736</v>
      </c>
      <c r="H498" s="3" t="n">
        <f aca="false">H$8*H$10*(1-EXP(-2*$C498/SQRT(PI()*H$9*H$10)))</f>
        <v>5.21465179216161E-005</v>
      </c>
    </row>
    <row r="499" customFormat="false" ht="15.75" hidden="false" customHeight="false" outlineLevel="0" collapsed="false">
      <c r="C499" s="0" t="n">
        <v>48.7</v>
      </c>
      <c r="D499" s="3" t="n">
        <f aca="false">D$8*D$10*(1-EXP(-2*$C499/SQRT(PI()*D$9*D$10)))</f>
        <v>0.000521465179753882</v>
      </c>
      <c r="E499" s="3" t="n">
        <f aca="false">E$8*E$10*(1-EXP(-2*$C499/SQRT(PI()*E$9*E$10)))</f>
        <v>0.000521245332092045</v>
      </c>
      <c r="F499" s="3" t="n">
        <f aca="false">F$8*F$10*(1-EXP(-2*$C499/SQRT(PI()*F$9*F$10)))</f>
        <v>0.000519323845592242</v>
      </c>
      <c r="G499" s="3" t="n">
        <f aca="false">G$8*G$10*(1-EXP(-2*$C499/SQRT(PI()*G$9*G$10)))</f>
        <v>0.000260622666046022</v>
      </c>
      <c r="H499" s="3" t="n">
        <f aca="false">H$8*H$10*(1-EXP(-2*$C499/SQRT(PI()*H$9*H$10)))</f>
        <v>5.21465179753882E-005</v>
      </c>
    </row>
    <row r="500" customFormat="false" ht="15.75" hidden="false" customHeight="false" outlineLevel="0" collapsed="false">
      <c r="C500" s="0" t="n">
        <v>48.8</v>
      </c>
      <c r="D500" s="3" t="n">
        <f aca="false">D$8*D$10*(1-EXP(-2*$C500/SQRT(PI()*D$9*D$10)))</f>
        <v>0.000521465180272753</v>
      </c>
      <c r="E500" s="3" t="n">
        <f aca="false">E$8*E$10*(1-EXP(-2*$C500/SQRT(PI()*E$9*E$10)))</f>
        <v>0.000521248812743912</v>
      </c>
      <c r="F500" s="3" t="n">
        <f aca="false">F$8*F$10*(1-EXP(-2*$C500/SQRT(PI()*F$9*F$10)))</f>
        <v>0.000519347872316638</v>
      </c>
      <c r="G500" s="3" t="n">
        <f aca="false">G$8*G$10*(1-EXP(-2*$C500/SQRT(PI()*G$9*G$10)))</f>
        <v>0.000260624406371956</v>
      </c>
      <c r="H500" s="3" t="n">
        <f aca="false">H$8*H$10*(1-EXP(-2*$C500/SQRT(PI()*H$9*H$10)))</f>
        <v>5.21465180272753E-005</v>
      </c>
    </row>
    <row r="501" customFormat="false" ht="15.75" hidden="false" customHeight="false" outlineLevel="0" collapsed="false">
      <c r="C501" s="0" t="n">
        <v>48.9</v>
      </c>
      <c r="D501" s="3" t="n">
        <f aca="false">D$8*D$10*(1-EXP(-2*$C501/SQRT(PI()*D$9*D$10)))</f>
        <v>0.000521465180773436</v>
      </c>
      <c r="E501" s="3" t="n">
        <f aca="false">E$8*E$10*(1-EXP(-2*$C501/SQRT(PI()*E$9*E$10)))</f>
        <v>0.000521252238293435</v>
      </c>
      <c r="F501" s="3" t="n">
        <f aca="false">F$8*F$10*(1-EXP(-2*$C501/SQRT(PI()*F$9*F$10)))</f>
        <v>0.000519371629452335</v>
      </c>
      <c r="G501" s="3" t="n">
        <f aca="false">G$8*G$10*(1-EXP(-2*$C501/SQRT(PI()*G$9*G$10)))</f>
        <v>0.000260626119146717</v>
      </c>
      <c r="H501" s="3" t="n">
        <f aca="false">H$8*H$10*(1-EXP(-2*$C501/SQRT(PI()*H$9*H$10)))</f>
        <v>5.21465180773436E-005</v>
      </c>
    </row>
    <row r="502" customFormat="false" ht="15.75" hidden="false" customHeight="false" outlineLevel="0" collapsed="false">
      <c r="C502" s="0" t="n">
        <v>49</v>
      </c>
      <c r="D502" s="3" t="n">
        <f aca="false">D$8*D$10*(1-EXP(-2*$C502/SQRT(PI()*D$9*D$10)))</f>
        <v>0.000521465181256569</v>
      </c>
      <c r="E502" s="3" t="n">
        <f aca="false">E$8*E$10*(1-EXP(-2*$C502/SQRT(PI()*E$9*E$10)))</f>
        <v>0.00052125560961294</v>
      </c>
      <c r="F502" s="3" t="n">
        <f aca="false">F$8*F$10*(1-EXP(-2*$C502/SQRT(PI()*F$9*F$10)))</f>
        <v>0.000519395120024215</v>
      </c>
      <c r="G502" s="3" t="n">
        <f aca="false">G$8*G$10*(1-EXP(-2*$C502/SQRT(PI()*G$9*G$10)))</f>
        <v>0.00026062780480647</v>
      </c>
      <c r="H502" s="3" t="n">
        <f aca="false">H$8*H$10*(1-EXP(-2*$C502/SQRT(PI()*H$9*H$10)))</f>
        <v>5.21465181256569E-005</v>
      </c>
    </row>
    <row r="503" customFormat="false" ht="15.75" hidden="false" customHeight="false" outlineLevel="0" collapsed="false">
      <c r="C503" s="0" t="n">
        <v>49.1</v>
      </c>
      <c r="D503" s="3" t="n">
        <f aca="false">D$8*D$10*(1-EXP(-2*$C503/SQRT(PI()*D$9*D$10)))</f>
        <v>0.000521465181722766</v>
      </c>
      <c r="E503" s="3" t="n">
        <f aca="false">E$8*E$10*(1-EXP(-2*$C503/SQRT(PI()*E$9*E$10)))</f>
        <v>0.000521258927560944</v>
      </c>
      <c r="F503" s="3" t="n">
        <f aca="false">F$8*F$10*(1-EXP(-2*$C503/SQRT(PI()*F$9*F$10)))</f>
        <v>0.000519418347023222</v>
      </c>
      <c r="G503" s="3" t="n">
        <f aca="false">G$8*G$10*(1-EXP(-2*$C503/SQRT(PI()*G$9*G$10)))</f>
        <v>0.000260629463780472</v>
      </c>
      <c r="H503" s="3" t="n">
        <f aca="false">H$8*H$10*(1-EXP(-2*$C503/SQRT(PI()*H$9*H$10)))</f>
        <v>5.21465181722766E-005</v>
      </c>
    </row>
    <row r="504" customFormat="false" ht="15.75" hidden="false" customHeight="false" outlineLevel="0" collapsed="false">
      <c r="C504" s="0" t="n">
        <v>49.2</v>
      </c>
      <c r="D504" s="3" t="n">
        <f aca="false">D$8*D$10*(1-EXP(-2*$C504/SQRT(PI()*D$9*D$10)))</f>
        <v>0.000521465182172621</v>
      </c>
      <c r="E504" s="3" t="n">
        <f aca="false">E$8*E$10*(1-EXP(-2*$C504/SQRT(PI()*E$9*E$10)))</f>
        <v>0.000521262192982375</v>
      </c>
      <c r="F504" s="3" t="n">
        <f aca="false">F$8*F$10*(1-EXP(-2*$C504/SQRT(PI()*F$9*F$10)))</f>
        <v>0.000519441313406743</v>
      </c>
      <c r="G504" s="3" t="n">
        <f aca="false">G$8*G$10*(1-EXP(-2*$C504/SQRT(PI()*G$9*G$10)))</f>
        <v>0.000260631096491188</v>
      </c>
      <c r="H504" s="3" t="n">
        <f aca="false">H$8*H$10*(1-EXP(-2*$C504/SQRT(PI()*H$9*H$10)))</f>
        <v>5.21465182172621E-005</v>
      </c>
    </row>
    <row r="505" customFormat="false" ht="15.75" hidden="false" customHeight="false" outlineLevel="0" collapsed="false">
      <c r="C505" s="0" t="n">
        <v>49.3</v>
      </c>
      <c r="D505" s="3" t="n">
        <f aca="false">D$8*D$10*(1-EXP(-2*$C505/SQRT(PI()*D$9*D$10)))</f>
        <v>0.000521465182606707</v>
      </c>
      <c r="E505" s="3" t="n">
        <f aca="false">E$8*E$10*(1-EXP(-2*$C505/SQRT(PI()*E$9*E$10)))</f>
        <v>0.000521265406708783</v>
      </c>
      <c r="F505" s="3" t="n">
        <f aca="false">F$8*F$10*(1-EXP(-2*$C505/SQRT(PI()*F$9*F$10)))</f>
        <v>0.000519464022098978</v>
      </c>
      <c r="G505" s="3" t="n">
        <f aca="false">G$8*G$10*(1-EXP(-2*$C505/SQRT(PI()*G$9*G$10)))</f>
        <v>0.000260632703354391</v>
      </c>
      <c r="H505" s="3" t="n">
        <f aca="false">H$8*H$10*(1-EXP(-2*$C505/SQRT(PI()*H$9*H$10)))</f>
        <v>5.21465182606707E-005</v>
      </c>
    </row>
    <row r="506" customFormat="false" ht="15.75" hidden="false" customHeight="false" outlineLevel="0" collapsed="false">
      <c r="C506" s="0" t="n">
        <v>49.4</v>
      </c>
      <c r="D506" s="3" t="n">
        <f aca="false">D$8*D$10*(1-EXP(-2*$C506/SQRT(PI()*D$9*D$10)))</f>
        <v>0.000521465183025577</v>
      </c>
      <c r="E506" s="3" t="n">
        <f aca="false">E$8*E$10*(1-EXP(-2*$C506/SQRT(PI()*E$9*E$10)))</f>
        <v>0.000521268569558553</v>
      </c>
      <c r="F506" s="3" t="n">
        <f aca="false">F$8*F$10*(1-EXP(-2*$C506/SQRT(PI()*F$9*F$10)))</f>
        <v>0.000519486475991318</v>
      </c>
      <c r="G506" s="3" t="n">
        <f aca="false">G$8*G$10*(1-EXP(-2*$C506/SQRT(PI()*G$9*G$10)))</f>
        <v>0.000260634284779277</v>
      </c>
      <c r="H506" s="3" t="n">
        <f aca="false">H$8*H$10*(1-EXP(-2*$C506/SQRT(PI()*H$9*H$10)))</f>
        <v>5.21465183025577E-005</v>
      </c>
    </row>
    <row r="507" customFormat="false" ht="15.75" hidden="false" customHeight="false" outlineLevel="0" collapsed="false">
      <c r="C507" s="0" t="n">
        <v>49.5</v>
      </c>
      <c r="D507" s="3" t="n">
        <f aca="false">D$8*D$10*(1-EXP(-2*$C507/SQRT(PI()*D$9*D$10)))</f>
        <v>0.000521465183429765</v>
      </c>
      <c r="E507" s="3" t="n">
        <f aca="false">E$8*E$10*(1-EXP(-2*$C507/SQRT(PI()*E$9*E$10)))</f>
        <v>0.000521271682337116</v>
      </c>
      <c r="F507" s="3" t="n">
        <f aca="false">F$8*F$10*(1-EXP(-2*$C507/SQRT(PI()*F$9*F$10)))</f>
        <v>0.000519508677942713</v>
      </c>
      <c r="G507" s="3" t="n">
        <f aca="false">G$8*G$10*(1-EXP(-2*$C507/SQRT(PI()*G$9*G$10)))</f>
        <v>0.000260635841168558</v>
      </c>
      <c r="H507" s="3" t="n">
        <f aca="false">H$8*H$10*(1-EXP(-2*$C507/SQRT(PI()*H$9*H$10)))</f>
        <v>5.21465183429765E-005</v>
      </c>
    </row>
    <row r="508" customFormat="false" ht="15.75" hidden="false" customHeight="false" outlineLevel="0" collapsed="false">
      <c r="C508" s="0" t="n">
        <v>49.6</v>
      </c>
      <c r="D508" s="3" t="n">
        <f aca="false">D$8*D$10*(1-EXP(-2*$C508/SQRT(PI()*D$9*D$10)))</f>
        <v>0.000521465183819784</v>
      </c>
      <c r="E508" s="3" t="n">
        <f aca="false">E$8*E$10*(1-EXP(-2*$C508/SQRT(PI()*E$9*E$10)))</f>
        <v>0.000521274745837152</v>
      </c>
      <c r="F508" s="3" t="n">
        <f aca="false">F$8*F$10*(1-EXP(-2*$C508/SQRT(PI()*F$9*F$10)))</f>
        <v>0.000519530630780033</v>
      </c>
      <c r="G508" s="3" t="n">
        <f aca="false">G$8*G$10*(1-EXP(-2*$C508/SQRT(PI()*G$9*G$10)))</f>
        <v>0.000260637372918576</v>
      </c>
      <c r="H508" s="3" t="n">
        <f aca="false">H$8*H$10*(1-EXP(-2*$C508/SQRT(PI()*H$9*H$10)))</f>
        <v>5.21465183819784E-005</v>
      </c>
    </row>
    <row r="509" customFormat="false" ht="15.75" hidden="false" customHeight="false" outlineLevel="0" collapsed="false">
      <c r="C509" s="0" t="n">
        <v>49.7</v>
      </c>
      <c r="D509" s="3" t="n">
        <f aca="false">D$8*D$10*(1-EXP(-2*$C509/SQRT(PI()*D$9*D$10)))</f>
        <v>0.000521465184196132</v>
      </c>
      <c r="E509" s="3" t="n">
        <f aca="false">E$8*E$10*(1-EXP(-2*$C509/SQRT(PI()*E$9*E$10)))</f>
        <v>0.000521277760838791</v>
      </c>
      <c r="F509" s="3" t="n">
        <f aca="false">F$8*F$10*(1-EXP(-2*$C509/SQRT(PI()*F$9*F$10)))</f>
        <v>0.000519552337298429</v>
      </c>
      <c r="G509" s="3" t="n">
        <f aca="false">G$8*G$10*(1-EXP(-2*$C509/SQRT(PI()*G$9*G$10)))</f>
        <v>0.000260638880419395</v>
      </c>
      <c r="H509" s="3" t="n">
        <f aca="false">H$8*H$10*(1-EXP(-2*$C509/SQRT(PI()*H$9*H$10)))</f>
        <v>5.21465184196132E-005</v>
      </c>
    </row>
    <row r="510" customFormat="false" ht="15.75" hidden="false" customHeight="false" outlineLevel="0" collapsed="false">
      <c r="C510" s="0" t="n">
        <v>49.8</v>
      </c>
      <c r="D510" s="3" t="n">
        <f aca="false">D$8*D$10*(1-EXP(-2*$C510/SQRT(PI()*D$9*D$10)))</f>
        <v>0.000521465184559287</v>
      </c>
      <c r="E510" s="3" t="n">
        <f aca="false">E$8*E$10*(1-EXP(-2*$C510/SQRT(PI()*E$9*E$10)))</f>
        <v>0.000521280728109812</v>
      </c>
      <c r="F510" s="3" t="n">
        <f aca="false">F$8*F$10*(1-EXP(-2*$C510/SQRT(PI()*F$9*F$10)))</f>
        <v>0.00051957380026169</v>
      </c>
      <c r="G510" s="3" t="n">
        <f aca="false">G$8*G$10*(1-EXP(-2*$C510/SQRT(PI()*G$9*G$10)))</f>
        <v>0.000260640364054906</v>
      </c>
      <c r="H510" s="3" t="n">
        <f aca="false">H$8*H$10*(1-EXP(-2*$C510/SQRT(PI()*H$9*H$10)))</f>
        <v>5.21465184559287E-005</v>
      </c>
    </row>
    <row r="511" customFormat="false" ht="15.75" hidden="false" customHeight="false" outlineLevel="0" collapsed="false">
      <c r="C511" s="0" t="n">
        <v>49.9</v>
      </c>
      <c r="D511" s="3" t="n">
        <f aca="false">D$8*D$10*(1-EXP(-2*$C511/SQRT(PI()*D$9*D$10)))</f>
        <v>0.000521465184909713</v>
      </c>
      <c r="E511" s="3" t="n">
        <f aca="false">E$8*E$10*(1-EXP(-2*$C511/SQRT(PI()*E$9*E$10)))</f>
        <v>0.000521283648405842</v>
      </c>
      <c r="F511" s="3" t="n">
        <f aca="false">F$8*F$10*(1-EXP(-2*$C511/SQRT(PI()*F$9*F$10)))</f>
        <v>0.000519595022402595</v>
      </c>
      <c r="G511" s="3" t="n">
        <f aca="false">G$8*G$10*(1-EXP(-2*$C511/SQRT(PI()*G$9*G$10)))</f>
        <v>0.000260641824202921</v>
      </c>
      <c r="H511" s="3" t="n">
        <f aca="false">H$8*H$10*(1-EXP(-2*$C511/SQRT(PI()*H$9*H$10)))</f>
        <v>5.21465184909713E-005</v>
      </c>
    </row>
    <row r="512" customFormat="false" ht="15.75" hidden="false" customHeight="false" outlineLevel="0" collapsed="false">
      <c r="C512" s="0" t="n">
        <v>50</v>
      </c>
      <c r="D512" s="3" t="n">
        <f aca="false">D$8*D$10*(1-EXP(-2*$C512/SQRT(PI()*D$9*D$10)))</f>
        <v>0.000521465185247855</v>
      </c>
      <c r="E512" s="3" t="n">
        <f aca="false">E$8*E$10*(1-EXP(-2*$C512/SQRT(PI()*E$9*E$10)))</f>
        <v>0.000521286522470543</v>
      </c>
      <c r="F512" s="3" t="n">
        <f aca="false">F$8*F$10*(1-EXP(-2*$C512/SQRT(PI()*F$9*F$10)))</f>
        <v>0.00051961600642326</v>
      </c>
      <c r="G512" s="3" t="n">
        <f aca="false">G$8*G$10*(1-EXP(-2*$C512/SQRT(PI()*G$9*G$10)))</f>
        <v>0.000260643261235272</v>
      </c>
      <c r="H512" s="3" t="n">
        <f aca="false">H$8*H$10*(1-EXP(-2*$C512/SQRT(PI()*H$9*H$10)))</f>
        <v>5.21465185247855E-005</v>
      </c>
    </row>
    <row r="513" customFormat="false" ht="15.75" hidden="false" customHeight="false" outlineLevel="0" collapsed="false">
      <c r="C513" s="0" t="n">
        <v>50.1</v>
      </c>
      <c r="D513" s="3" t="n">
        <f aca="false">D$8*D$10*(1-EXP(-2*$C513/SQRT(PI()*D$9*D$10)))</f>
        <v>0.000521465185574144</v>
      </c>
      <c r="E513" s="3" t="n">
        <f aca="false">E$8*E$10*(1-EXP(-2*$C513/SQRT(PI()*E$9*E$10)))</f>
        <v>0.000521289351035806</v>
      </c>
      <c r="F513" s="3" t="n">
        <f aca="false">F$8*F$10*(1-EXP(-2*$C513/SQRT(PI()*F$9*F$10)))</f>
        <v>0.000519636754995481</v>
      </c>
      <c r="G513" s="3" t="n">
        <f aca="false">G$8*G$10*(1-EXP(-2*$C513/SQRT(PI()*G$9*G$10)))</f>
        <v>0.000260644675517903</v>
      </c>
      <c r="H513" s="3" t="n">
        <f aca="false">H$8*H$10*(1-EXP(-2*$C513/SQRT(PI()*H$9*H$10)))</f>
        <v>5.21465185574144E-005</v>
      </c>
    </row>
    <row r="514" customFormat="false" ht="15.75" hidden="false" customHeight="false" outlineLevel="0" collapsed="false">
      <c r="C514" s="0" t="n">
        <v>50.2</v>
      </c>
      <c r="D514" s="3" t="n">
        <f aca="false">D$8*D$10*(1-EXP(-2*$C514/SQRT(PI()*D$9*D$10)))</f>
        <v>0.000521465185888995</v>
      </c>
      <c r="E514" s="3" t="n">
        <f aca="false">E$8*E$10*(1-EXP(-2*$C514/SQRT(PI()*E$9*E$10)))</f>
        <v>0.000521292134821934</v>
      </c>
      <c r="F514" s="3" t="n">
        <f aca="false">F$8*F$10*(1-EXP(-2*$C514/SQRT(PI()*F$9*F$10)))</f>
        <v>0.000519657270761076</v>
      </c>
      <c r="G514" s="3" t="n">
        <f aca="false">G$8*G$10*(1-EXP(-2*$C514/SQRT(PI()*G$9*G$10)))</f>
        <v>0.000260646067410967</v>
      </c>
      <c r="H514" s="3" t="n">
        <f aca="false">H$8*H$10*(1-EXP(-2*$C514/SQRT(PI()*H$9*H$10)))</f>
        <v>5.21465185888995E-005</v>
      </c>
    </row>
    <row r="515" customFormat="false" ht="15.75" hidden="false" customHeight="false" outlineLevel="0" collapsed="false">
      <c r="C515" s="0" t="n">
        <v>50.3</v>
      </c>
      <c r="D515" s="3" t="n">
        <f aca="false">D$8*D$10*(1-EXP(-2*$C515/SQRT(PI()*D$9*D$10)))</f>
        <v>0.00052146518619281</v>
      </c>
      <c r="E515" s="3" t="n">
        <f aca="false">E$8*E$10*(1-EXP(-2*$C515/SQRT(PI()*E$9*E$10)))</f>
        <v>0.000521294874537826</v>
      </c>
      <c r="F515" s="3" t="n">
        <f aca="false">F$8*F$10*(1-EXP(-2*$C515/SQRT(PI()*F$9*F$10)))</f>
        <v>0.000519677556332221</v>
      </c>
      <c r="G515" s="3" t="n">
        <f aca="false">G$8*G$10*(1-EXP(-2*$C515/SQRT(PI()*G$9*G$10)))</f>
        <v>0.000260647437268913</v>
      </c>
      <c r="H515" s="3" t="n">
        <f aca="false">H$8*H$10*(1-EXP(-2*$C515/SQRT(PI()*H$9*H$10)))</f>
        <v>5.2146518619281E-005</v>
      </c>
    </row>
    <row r="516" customFormat="false" ht="15.75" hidden="false" customHeight="false" outlineLevel="0" collapsed="false">
      <c r="C516" s="0" t="n">
        <v>50.4</v>
      </c>
      <c r="D516" s="3" t="n">
        <f aca="false">D$8*D$10*(1-EXP(-2*$C516/SQRT(PI()*D$9*D$10)))</f>
        <v>0.000521465186485976</v>
      </c>
      <c r="E516" s="3" t="n">
        <f aca="false">E$8*E$10*(1-EXP(-2*$C516/SQRT(PI()*E$9*E$10)))</f>
        <v>0.000521297570881163</v>
      </c>
      <c r="F516" s="3" t="n">
        <f aca="false">F$8*F$10*(1-EXP(-2*$C516/SQRT(PI()*F$9*F$10)))</f>
        <v>0.000519697614291784</v>
      </c>
      <c r="G516" s="3" t="n">
        <f aca="false">G$8*G$10*(1-EXP(-2*$C516/SQRT(PI()*G$9*G$10)))</f>
        <v>0.000260648785440581</v>
      </c>
      <c r="H516" s="3" t="n">
        <f aca="false">H$8*H$10*(1-EXP(-2*$C516/SQRT(PI()*H$9*H$10)))</f>
        <v>5.21465186485976E-005</v>
      </c>
    </row>
    <row r="517" customFormat="false" ht="15.75" hidden="false" customHeight="false" outlineLevel="0" collapsed="false">
      <c r="C517" s="0" t="n">
        <v>50.5</v>
      </c>
      <c r="D517" s="3" t="n">
        <f aca="false">D$8*D$10*(1-EXP(-2*$C517/SQRT(PI()*D$9*D$10)))</f>
        <v>0.000521465186768864</v>
      </c>
      <c r="E517" s="3" t="n">
        <f aca="false">E$8*E$10*(1-EXP(-2*$C517/SQRT(PI()*E$9*E$10)))</f>
        <v>0.000521300224538575</v>
      </c>
      <c r="F517" s="3" t="n">
        <f aca="false">F$8*F$10*(1-EXP(-2*$C517/SQRT(PI()*F$9*F$10)))</f>
        <v>0.00051971744719365</v>
      </c>
      <c r="G517" s="3" t="n">
        <f aca="false">G$8*G$10*(1-EXP(-2*$C517/SQRT(PI()*G$9*G$10)))</f>
        <v>0.000260650112269287</v>
      </c>
      <c r="H517" s="3" t="n">
        <f aca="false">H$8*H$10*(1-EXP(-2*$C517/SQRT(PI()*H$9*H$10)))</f>
        <v>5.21465186768864E-005</v>
      </c>
    </row>
    <row r="518" customFormat="false" ht="15.75" hidden="false" customHeight="false" outlineLevel="0" collapsed="false">
      <c r="C518" s="0" t="n">
        <v>50.6</v>
      </c>
      <c r="D518" s="3" t="n">
        <f aca="false">D$8*D$10*(1-EXP(-2*$C518/SQRT(PI()*D$9*D$10)))</f>
        <v>0.000521465187041837</v>
      </c>
      <c r="E518" s="3" t="n">
        <f aca="false">E$8*E$10*(1-EXP(-2*$C518/SQRT(PI()*E$9*E$10)))</f>
        <v>0.000521302836185825</v>
      </c>
      <c r="F518" s="3" t="n">
        <f aca="false">F$8*F$10*(1-EXP(-2*$C518/SQRT(PI()*F$9*F$10)))</f>
        <v>0.000519737057563049</v>
      </c>
      <c r="G518" s="3" t="n">
        <f aca="false">G$8*G$10*(1-EXP(-2*$C518/SQRT(PI()*G$9*G$10)))</f>
        <v>0.000260651418092912</v>
      </c>
      <c r="H518" s="3" t="n">
        <f aca="false">H$8*H$10*(1-EXP(-2*$C518/SQRT(PI()*H$9*H$10)))</f>
        <v>5.21465187041837E-005</v>
      </c>
    </row>
    <row r="519" customFormat="false" ht="15.75" hidden="false" customHeight="false" outlineLevel="0" collapsed="false">
      <c r="C519" s="0" t="n">
        <v>50.7</v>
      </c>
      <c r="D519" s="3" t="n">
        <f aca="false">D$8*D$10*(1-EXP(-2*$C519/SQRT(PI()*D$9*D$10)))</f>
        <v>0.000521465187305241</v>
      </c>
      <c r="E519" s="3" t="n">
        <f aca="false">E$8*E$10*(1-EXP(-2*$C519/SQRT(PI()*E$9*E$10)))</f>
        <v>0.000521305406487979</v>
      </c>
      <c r="F519" s="3" t="n">
        <f aca="false">F$8*F$10*(1-EXP(-2*$C519/SQRT(PI()*F$9*F$10)))</f>
        <v>0.000519756447896878</v>
      </c>
      <c r="G519" s="3" t="n">
        <f aca="false">G$8*G$10*(1-EXP(-2*$C519/SQRT(PI()*G$9*G$10)))</f>
        <v>0.000260652703243989</v>
      </c>
      <c r="H519" s="3" t="n">
        <f aca="false">H$8*H$10*(1-EXP(-2*$C519/SQRT(PI()*H$9*H$10)))</f>
        <v>5.21465187305241E-005</v>
      </c>
    </row>
    <row r="520" customFormat="false" ht="15.75" hidden="false" customHeight="false" outlineLevel="0" collapsed="false">
      <c r="C520" s="0" t="n">
        <v>50.8</v>
      </c>
      <c r="D520" s="3" t="n">
        <f aca="false">D$8*D$10*(1-EXP(-2*$C520/SQRT(PI()*D$9*D$10)))</f>
        <v>0.000521465187559411</v>
      </c>
      <c r="E520" s="3" t="n">
        <f aca="false">E$8*E$10*(1-EXP(-2*$C520/SQRT(PI()*E$9*E$10)))</f>
        <v>0.000521307936099571</v>
      </c>
      <c r="F520" s="3" t="n">
        <f aca="false">F$8*F$10*(1-EXP(-2*$C520/SQRT(PI()*F$9*F$10)))</f>
        <v>0.000519775620664016</v>
      </c>
      <c r="G520" s="3" t="n">
        <f aca="false">G$8*G$10*(1-EXP(-2*$C520/SQRT(PI()*G$9*G$10)))</f>
        <v>0.000260653968049786</v>
      </c>
      <c r="H520" s="3" t="n">
        <f aca="false">H$8*H$10*(1-EXP(-2*$C520/SQRT(PI()*H$9*H$10)))</f>
        <v>5.21465187559412E-005</v>
      </c>
    </row>
    <row r="521" customFormat="false" ht="15.75" hidden="false" customHeight="false" outlineLevel="0" collapsed="false">
      <c r="C521" s="0" t="n">
        <v>50.9</v>
      </c>
      <c r="D521" s="3" t="n">
        <f aca="false">D$8*D$10*(1-EXP(-2*$C521/SQRT(PI()*D$9*D$10)))</f>
        <v>0.000521465187804673</v>
      </c>
      <c r="E521" s="3" t="n">
        <f aca="false">E$8*E$10*(1-EXP(-2*$C521/SQRT(PI()*E$9*E$10)))</f>
        <v>0.000521310425664777</v>
      </c>
      <c r="F521" s="3" t="n">
        <f aca="false">F$8*F$10*(1-EXP(-2*$C521/SQRT(PI()*F$9*F$10)))</f>
        <v>0.000519794578305642</v>
      </c>
      <c r="G521" s="3" t="n">
        <f aca="false">G$8*G$10*(1-EXP(-2*$C521/SQRT(PI()*G$9*G$10)))</f>
        <v>0.000260655212832388</v>
      </c>
      <c r="H521" s="3" t="n">
        <f aca="false">H$8*H$10*(1-EXP(-2*$C521/SQRT(PI()*H$9*H$10)))</f>
        <v>5.21465187804673E-005</v>
      </c>
    </row>
    <row r="522" customFormat="false" ht="15.75" hidden="false" customHeight="false" outlineLevel="0" collapsed="false">
      <c r="C522" s="0" t="n">
        <v>51</v>
      </c>
      <c r="D522" s="3" t="n">
        <f aca="false">D$8*D$10*(1-EXP(-2*$C522/SQRT(PI()*D$9*D$10)))</f>
        <v>0.000521465188041337</v>
      </c>
      <c r="E522" s="3" t="n">
        <f aca="false">E$8*E$10*(1-EXP(-2*$C522/SQRT(PI()*E$9*E$10)))</f>
        <v>0.000521312875817572</v>
      </c>
      <c r="F522" s="3" t="n">
        <f aca="false">F$8*F$10*(1-EXP(-2*$C522/SQRT(PI()*F$9*F$10)))</f>
        <v>0.000519813323235544</v>
      </c>
      <c r="G522" s="3" t="n">
        <f aca="false">G$8*G$10*(1-EXP(-2*$C522/SQRT(PI()*G$9*G$10)))</f>
        <v>0.000260656437908786</v>
      </c>
      <c r="H522" s="3" t="n">
        <f aca="false">H$8*H$10*(1-EXP(-2*$C522/SQRT(PI()*H$9*H$10)))</f>
        <v>5.21465188041337E-005</v>
      </c>
    </row>
    <row r="523" customFormat="false" ht="15.75" hidden="false" customHeight="false" outlineLevel="0" collapsed="false">
      <c r="C523" s="0" t="n">
        <v>51.1</v>
      </c>
      <c r="D523" s="3" t="n">
        <f aca="false">D$8*D$10*(1-EXP(-2*$C523/SQRT(PI()*D$9*D$10)))</f>
        <v>0.000521465188269705</v>
      </c>
      <c r="E523" s="3" t="n">
        <f aca="false">E$8*E$10*(1-EXP(-2*$C523/SQRT(PI()*E$9*E$10)))</f>
        <v>0.000521315287181895</v>
      </c>
      <c r="F523" s="3" t="n">
        <f aca="false">F$8*F$10*(1-EXP(-2*$C523/SQRT(PI()*F$9*F$10)))</f>
        <v>0.000519831857840426</v>
      </c>
      <c r="G523" s="3" t="n">
        <f aca="false">G$8*G$10*(1-EXP(-2*$C523/SQRT(PI()*G$9*G$10)))</f>
        <v>0.000260657643590947</v>
      </c>
      <c r="H523" s="3" t="n">
        <f aca="false">H$8*H$10*(1-EXP(-2*$C523/SQRT(PI()*H$9*H$10)))</f>
        <v>5.21465188269705E-005</v>
      </c>
    </row>
    <row r="524" customFormat="false" ht="15.75" hidden="false" customHeight="false" outlineLevel="0" collapsed="false">
      <c r="C524" s="0" t="n">
        <v>51.2</v>
      </c>
      <c r="D524" s="3" t="n">
        <f aca="false">D$8*D$10*(1-EXP(-2*$C524/SQRT(PI()*D$9*D$10)))</f>
        <v>0.000521465188490068</v>
      </c>
      <c r="E524" s="3" t="n">
        <f aca="false">E$8*E$10*(1-EXP(-2*$C524/SQRT(PI()*E$9*E$10)))</f>
        <v>0.000521317660371809</v>
      </c>
      <c r="F524" s="3" t="n">
        <f aca="false">F$8*F$10*(1-EXP(-2*$C524/SQRT(PI()*F$9*F$10)))</f>
        <v>0.000519850184480211</v>
      </c>
      <c r="G524" s="3" t="n">
        <f aca="false">G$8*G$10*(1-EXP(-2*$C524/SQRT(PI()*G$9*G$10)))</f>
        <v>0.000260658830185904</v>
      </c>
      <c r="H524" s="3" t="n">
        <f aca="false">H$8*H$10*(1-EXP(-2*$C524/SQRT(PI()*H$9*H$10)))</f>
        <v>5.21465188490068E-005</v>
      </c>
    </row>
    <row r="525" customFormat="false" ht="15.75" hidden="false" customHeight="false" outlineLevel="0" collapsed="false">
      <c r="C525" s="0" t="n">
        <v>51.3</v>
      </c>
      <c r="D525" s="3" t="n">
        <f aca="false">D$8*D$10*(1-EXP(-2*$C525/SQRT(PI()*D$9*D$10)))</f>
        <v>0.000521465188702706</v>
      </c>
      <c r="E525" s="3" t="n">
        <f aca="false">E$8*E$10*(1-EXP(-2*$C525/SQRT(PI()*E$9*E$10)))</f>
        <v>0.000521319995991654</v>
      </c>
      <c r="F525" s="3" t="n">
        <f aca="false">F$8*F$10*(1-EXP(-2*$C525/SQRT(PI()*F$9*F$10)))</f>
        <v>0.000519868305488346</v>
      </c>
      <c r="G525" s="3" t="n">
        <f aca="false">G$8*G$10*(1-EXP(-2*$C525/SQRT(PI()*G$9*G$10)))</f>
        <v>0.000260659997995827</v>
      </c>
      <c r="H525" s="3" t="n">
        <f aca="false">H$8*H$10*(1-EXP(-2*$C525/SQRT(PI()*H$9*H$10)))</f>
        <v>5.21465188702706E-005</v>
      </c>
    </row>
    <row r="526" customFormat="false" ht="15.75" hidden="false" customHeight="false" outlineLevel="0" collapsed="false">
      <c r="C526" s="0" t="n">
        <v>51.4</v>
      </c>
      <c r="D526" s="3" t="n">
        <f aca="false">D$8*D$10*(1-EXP(-2*$C526/SQRT(PI()*D$9*D$10)))</f>
        <v>0.000521465188907891</v>
      </c>
      <c r="E526" s="3" t="n">
        <f aca="false">E$8*E$10*(1-EXP(-2*$C526/SQRT(PI()*E$9*E$10)))</f>
        <v>0.000521322294636204</v>
      </c>
      <c r="F526" s="3" t="n">
        <f aca="false">F$8*F$10*(1-EXP(-2*$C526/SQRT(PI()*F$9*F$10)))</f>
        <v>0.000519886223172092</v>
      </c>
      <c r="G526" s="3" t="n">
        <f aca="false">G$8*G$10*(1-EXP(-2*$C526/SQRT(PI()*G$9*G$10)))</f>
        <v>0.000260661147318102</v>
      </c>
      <c r="H526" s="3" t="n">
        <f aca="false">H$8*H$10*(1-EXP(-2*$C526/SQRT(PI()*H$9*H$10)))</f>
        <v>5.21465188907891E-005</v>
      </c>
    </row>
    <row r="527" customFormat="false" ht="15.75" hidden="false" customHeight="false" outlineLevel="0" collapsed="false">
      <c r="C527" s="0" t="n">
        <v>51.5</v>
      </c>
      <c r="D527" s="3" t="n">
        <f aca="false">D$8*D$10*(1-EXP(-2*$C527/SQRT(PI()*D$9*D$10)))</f>
        <v>0.000521465189105884</v>
      </c>
      <c r="E527" s="3" t="n">
        <f aca="false">E$8*E$10*(1-EXP(-2*$C527/SQRT(PI()*E$9*E$10)))</f>
        <v>0.000521324556890815</v>
      </c>
      <c r="F527" s="3" t="n">
        <f aca="false">F$8*F$10*(1-EXP(-2*$C527/SQRT(PI()*F$9*F$10)))</f>
        <v>0.000519903939812824</v>
      </c>
      <c r="G527" s="3" t="n">
        <f aca="false">G$8*G$10*(1-EXP(-2*$C527/SQRT(PI()*G$9*G$10)))</f>
        <v>0.000260662278445408</v>
      </c>
      <c r="H527" s="3" t="n">
        <f aca="false">H$8*H$10*(1-EXP(-2*$C527/SQRT(PI()*H$9*H$10)))</f>
        <v>5.21465189105884E-005</v>
      </c>
    </row>
    <row r="528" customFormat="false" ht="15.75" hidden="false" customHeight="false" outlineLevel="0" collapsed="false">
      <c r="C528" s="0" t="n">
        <v>51.6</v>
      </c>
      <c r="D528" s="3" t="n">
        <f aca="false">D$8*D$10*(1-EXP(-2*$C528/SQRT(PI()*D$9*D$10)))</f>
        <v>0.000521465189296936</v>
      </c>
      <c r="E528" s="3" t="n">
        <f aca="false">E$8*E$10*(1-EXP(-2*$C528/SQRT(PI()*E$9*E$10)))</f>
        <v>0.000521326783331579</v>
      </c>
      <c r="F528" s="3" t="n">
        <f aca="false">F$8*F$10*(1-EXP(-2*$C528/SQRT(PI()*F$9*F$10)))</f>
        <v>0.000519921457666319</v>
      </c>
      <c r="G528" s="3" t="n">
        <f aca="false">G$8*G$10*(1-EXP(-2*$C528/SQRT(PI()*G$9*G$10)))</f>
        <v>0.00026066339166579</v>
      </c>
      <c r="H528" s="3" t="n">
        <f aca="false">H$8*H$10*(1-EXP(-2*$C528/SQRT(PI()*H$9*H$10)))</f>
        <v>5.21465189296936E-005</v>
      </c>
    </row>
    <row r="529" customFormat="false" ht="15.75" hidden="false" customHeight="false" outlineLevel="0" collapsed="false">
      <c r="C529" s="0" t="n">
        <v>51.7</v>
      </c>
      <c r="D529" s="3" t="n">
        <f aca="false">D$8*D$10*(1-EXP(-2*$C529/SQRT(PI()*D$9*D$10)))</f>
        <v>0.000521465189481291</v>
      </c>
      <c r="E529" s="3" t="n">
        <f aca="false">E$8*E$10*(1-EXP(-2*$C529/SQRT(PI()*E$9*E$10)))</f>
        <v>0.000521328974525467</v>
      </c>
      <c r="F529" s="3" t="n">
        <f aca="false">F$8*F$10*(1-EXP(-2*$C529/SQRT(PI()*F$9*F$10)))</f>
        <v>0.000519938778963043</v>
      </c>
      <c r="G529" s="3" t="n">
        <f aca="false">G$8*G$10*(1-EXP(-2*$C529/SQRT(PI()*G$9*G$10)))</f>
        <v>0.000260664487262733</v>
      </c>
      <c r="H529" s="3" t="n">
        <f aca="false">H$8*H$10*(1-EXP(-2*$C529/SQRT(PI()*H$9*H$10)))</f>
        <v>5.21465189481291E-005</v>
      </c>
    </row>
    <row r="530" customFormat="false" ht="15.75" hidden="false" customHeight="false" outlineLevel="0" collapsed="false">
      <c r="C530" s="0" t="n">
        <v>51.8</v>
      </c>
      <c r="D530" s="3" t="n">
        <f aca="false">D$8*D$10*(1-EXP(-2*$C530/SQRT(PI()*D$9*D$10)))</f>
        <v>0.000521465189659184</v>
      </c>
      <c r="E530" s="3" t="n">
        <f aca="false">E$8*E$10*(1-EXP(-2*$C530/SQRT(PI()*E$9*E$10)))</f>
        <v>0.000521331131030472</v>
      </c>
      <c r="F530" s="3" t="n">
        <f aca="false">F$8*F$10*(1-EXP(-2*$C530/SQRT(PI()*F$9*F$10)))</f>
        <v>0.000519955905908435</v>
      </c>
      <c r="G530" s="3" t="n">
        <f aca="false">G$8*G$10*(1-EXP(-2*$C530/SQRT(PI()*G$9*G$10)))</f>
        <v>0.000260665565515236</v>
      </c>
      <c r="H530" s="3" t="n">
        <f aca="false">H$8*H$10*(1-EXP(-2*$C530/SQRT(PI()*H$9*H$10)))</f>
        <v>5.21465189659184E-005</v>
      </c>
    </row>
    <row r="531" customFormat="false" ht="15.75" hidden="false" customHeight="false" outlineLevel="0" collapsed="false">
      <c r="C531" s="0" t="n">
        <v>51.9</v>
      </c>
      <c r="D531" s="3" t="n">
        <f aca="false">D$8*D$10*(1-EXP(-2*$C531/SQRT(PI()*D$9*D$10)))</f>
        <v>0.000521465189830841</v>
      </c>
      <c r="E531" s="3" t="n">
        <f aca="false">E$8*E$10*(1-EXP(-2*$C531/SQRT(PI()*E$9*E$10)))</f>
        <v>0.000521333253395756</v>
      </c>
      <c r="F531" s="3" t="n">
        <f aca="false">F$8*F$10*(1-EXP(-2*$C531/SQRT(PI()*F$9*F$10)))</f>
        <v>0.00051997284068319</v>
      </c>
      <c r="G531" s="3" t="n">
        <f aca="false">G$8*G$10*(1-EXP(-2*$C531/SQRT(PI()*G$9*G$10)))</f>
        <v>0.000260666626697878</v>
      </c>
      <c r="H531" s="3" t="n">
        <f aca="false">H$8*H$10*(1-EXP(-2*$C531/SQRT(PI()*H$9*H$10)))</f>
        <v>5.21465189830841E-005</v>
      </c>
    </row>
    <row r="532" customFormat="false" ht="15.75" hidden="false" customHeight="false" outlineLevel="0" collapsed="false">
      <c r="C532" s="0" t="n">
        <v>52</v>
      </c>
      <c r="D532" s="3" t="n">
        <f aca="false">D$8*D$10*(1-EXP(-2*$C532/SQRT(PI()*D$9*D$10)))</f>
        <v>0.000521465189996481</v>
      </c>
      <c r="E532" s="3" t="n">
        <f aca="false">E$8*E$10*(1-EXP(-2*$C532/SQRT(PI()*E$9*E$10)))</f>
        <v>0.000521335342161787</v>
      </c>
      <c r="F532" s="3" t="n">
        <f aca="false">F$8*F$10*(1-EXP(-2*$C532/SQRT(PI()*F$9*F$10)))</f>
        <v>0.000519989585443532</v>
      </c>
      <c r="G532" s="3" t="n">
        <f aca="false">G$8*G$10*(1-EXP(-2*$C532/SQRT(PI()*G$9*G$10)))</f>
        <v>0.000260667671080893</v>
      </c>
      <c r="H532" s="3" t="n">
        <f aca="false">H$8*H$10*(1-EXP(-2*$C532/SQRT(PI()*H$9*H$10)))</f>
        <v>5.21465189996481E-005</v>
      </c>
    </row>
    <row r="533" customFormat="false" ht="15.75" hidden="false" customHeight="false" outlineLevel="0" collapsed="false">
      <c r="C533" s="0" t="n">
        <v>52.1</v>
      </c>
      <c r="D533" s="3" t="n">
        <f aca="false">D$8*D$10*(1-EXP(-2*$C533/SQRT(PI()*D$9*D$10)))</f>
        <v>0.000521465190156315</v>
      </c>
      <c r="E533" s="3" t="n">
        <f aca="false">E$8*E$10*(1-EXP(-2*$C533/SQRT(PI()*E$9*E$10)))</f>
        <v>0.000521337397860475</v>
      </c>
      <c r="F533" s="3" t="n">
        <f aca="false">F$8*F$10*(1-EXP(-2*$C533/SQRT(PI()*F$9*F$10)))</f>
        <v>0.000520006142321493</v>
      </c>
      <c r="G533" s="3" t="n">
        <f aca="false">G$8*G$10*(1-EXP(-2*$C533/SQRT(PI()*G$9*G$10)))</f>
        <v>0.000260668698930238</v>
      </c>
      <c r="H533" s="3" t="n">
        <f aca="false">H$8*H$10*(1-EXP(-2*$C533/SQRT(PI()*H$9*H$10)))</f>
        <v>5.21465190156315E-005</v>
      </c>
    </row>
    <row r="534" customFormat="false" ht="15.75" hidden="false" customHeight="false" outlineLevel="0" collapsed="false">
      <c r="C534" s="0" t="n">
        <v>52.2</v>
      </c>
      <c r="D534" s="3" t="n">
        <f aca="false">D$8*D$10*(1-EXP(-2*$C534/SQRT(PI()*D$9*D$10)))</f>
        <v>0.000521465190310546</v>
      </c>
      <c r="E534" s="3" t="n">
        <f aca="false">E$8*E$10*(1-EXP(-2*$C534/SQRT(PI()*E$9*E$10)))</f>
        <v>0.000521339421015311</v>
      </c>
      <c r="F534" s="3" t="n">
        <f aca="false">F$8*F$10*(1-EXP(-2*$C534/SQRT(PI()*F$9*F$10)))</f>
        <v>0.000520022513425182</v>
      </c>
      <c r="G534" s="3" t="n">
        <f aca="false">G$8*G$10*(1-EXP(-2*$C534/SQRT(PI()*G$9*G$10)))</f>
        <v>0.000260669710507656</v>
      </c>
      <c r="H534" s="3" t="n">
        <f aca="false">H$8*H$10*(1-EXP(-2*$C534/SQRT(PI()*H$9*H$10)))</f>
        <v>5.21465190310546E-005</v>
      </c>
    </row>
    <row r="535" customFormat="false" ht="15.75" hidden="false" customHeight="false" outlineLevel="0" collapsed="false">
      <c r="C535" s="0" t="n">
        <v>52.3</v>
      </c>
      <c r="D535" s="3" t="n">
        <f aca="false">D$8*D$10*(1-EXP(-2*$C535/SQRT(PI()*D$9*D$10)))</f>
        <v>0.00052146519045937</v>
      </c>
      <c r="E535" s="3" t="n">
        <f aca="false">E$8*E$10*(1-EXP(-2*$C535/SQRT(PI()*E$9*E$10)))</f>
        <v>0.000521341412141499</v>
      </c>
      <c r="F535" s="3" t="n">
        <f aca="false">F$8*F$10*(1-EXP(-2*$C535/SQRT(PI()*F$9*F$10)))</f>
        <v>0.000520038700839056</v>
      </c>
      <c r="G535" s="3" t="n">
        <f aca="false">G$8*G$10*(1-EXP(-2*$C535/SQRT(PI()*G$9*G$10)))</f>
        <v>0.000260670706070749</v>
      </c>
      <c r="H535" s="3" t="n">
        <f aca="false">H$8*H$10*(1-EXP(-2*$C535/SQRT(PI()*H$9*H$10)))</f>
        <v>5.2146519045937E-005</v>
      </c>
    </row>
    <row r="536" customFormat="false" ht="15.75" hidden="false" customHeight="false" outlineLevel="0" collapsed="false">
      <c r="C536" s="0" t="n">
        <v>52.4</v>
      </c>
      <c r="D536" s="3" t="n">
        <f aca="false">D$8*D$10*(1-EXP(-2*$C536/SQRT(PI()*D$9*D$10)))</f>
        <v>0.000521465190602978</v>
      </c>
      <c r="E536" s="3" t="n">
        <f aca="false">E$8*E$10*(1-EXP(-2*$C536/SQRT(PI()*E$9*E$10)))</f>
        <v>0.000521343371746084</v>
      </c>
      <c r="F536" s="3" t="n">
        <f aca="false">F$8*F$10*(1-EXP(-2*$C536/SQRT(PI()*F$9*F$10)))</f>
        <v>0.000520054706624181</v>
      </c>
      <c r="G536" s="3" t="n">
        <f aca="false">G$8*G$10*(1-EXP(-2*$C536/SQRT(PI()*G$9*G$10)))</f>
        <v>0.000260671685873042</v>
      </c>
      <c r="H536" s="3" t="n">
        <f aca="false">H$8*H$10*(1-EXP(-2*$C536/SQRT(PI()*H$9*H$10)))</f>
        <v>5.21465190602978E-005</v>
      </c>
    </row>
    <row r="537" customFormat="false" ht="15.75" hidden="false" customHeight="false" outlineLevel="0" collapsed="false">
      <c r="C537" s="0" t="n">
        <v>52.5</v>
      </c>
      <c r="D537" s="3" t="n">
        <f aca="false">D$8*D$10*(1-EXP(-2*$C537/SQRT(PI()*D$9*D$10)))</f>
        <v>0.000521465190741552</v>
      </c>
      <c r="E537" s="3" t="n">
        <f aca="false">E$8*E$10*(1-EXP(-2*$C537/SQRT(PI()*E$9*E$10)))</f>
        <v>0.000521345300328088</v>
      </c>
      <c r="F537" s="3" t="n">
        <f aca="false">F$8*F$10*(1-EXP(-2*$C537/SQRT(PI()*F$9*F$10)))</f>
        <v>0.0005200705328185</v>
      </c>
      <c r="G537" s="3" t="n">
        <f aca="false">G$8*G$10*(1-EXP(-2*$C537/SQRT(PI()*G$9*G$10)))</f>
        <v>0.000260672650164044</v>
      </c>
      <c r="H537" s="3" t="n">
        <f aca="false">H$8*H$10*(1-EXP(-2*$C537/SQRT(PI()*H$9*H$10)))</f>
        <v>5.21465190741552E-005</v>
      </c>
    </row>
    <row r="538" customFormat="false" ht="15.75" hidden="false" customHeight="false" outlineLevel="0" collapsed="false">
      <c r="C538" s="0" t="n">
        <v>52.6</v>
      </c>
      <c r="D538" s="3" t="n">
        <f aca="false">D$8*D$10*(1-EXP(-2*$C538/SQRT(PI()*D$9*D$10)))</f>
        <v>0.000521465190875269</v>
      </c>
      <c r="E538" s="3" t="n">
        <f aca="false">E$8*E$10*(1-EXP(-2*$C538/SQRT(PI()*E$9*E$10)))</f>
        <v>0.000521347198378629</v>
      </c>
      <c r="F538" s="3" t="n">
        <f aca="false">F$8*F$10*(1-EXP(-2*$C538/SQRT(PI()*F$9*F$10)))</f>
        <v>0.000520086181437087</v>
      </c>
      <c r="G538" s="3" t="n">
        <f aca="false">G$8*G$10*(1-EXP(-2*$C538/SQRT(PI()*G$9*G$10)))</f>
        <v>0.000260673599189314</v>
      </c>
      <c r="H538" s="3" t="n">
        <f aca="false">H$8*H$10*(1-EXP(-2*$C538/SQRT(PI()*H$9*H$10)))</f>
        <v>5.21465190875269E-005</v>
      </c>
    </row>
    <row r="539" customFormat="false" ht="15.75" hidden="false" customHeight="false" outlineLevel="0" collapsed="false">
      <c r="C539" s="0" t="n">
        <v>52.7</v>
      </c>
      <c r="D539" s="3" t="n">
        <f aca="false">D$8*D$10*(1-EXP(-2*$C539/SQRT(PI()*D$9*D$10)))</f>
        <v>0.000521465191004298</v>
      </c>
      <c r="E539" s="3" t="n">
        <f aca="false">E$8*E$10*(1-EXP(-2*$C539/SQRT(PI()*E$9*E$10)))</f>
        <v>0.000521349066381052</v>
      </c>
      <c r="F539" s="3" t="n">
        <f aca="false">F$8*F$10*(1-EXP(-2*$C539/SQRT(PI()*F$9*F$10)))</f>
        <v>0.000520101654472407</v>
      </c>
      <c r="G539" s="3" t="n">
        <f aca="false">G$8*G$10*(1-EXP(-2*$C539/SQRT(PI()*G$9*G$10)))</f>
        <v>0.000260674533190526</v>
      </c>
      <c r="H539" s="3" t="n">
        <f aca="false">H$8*H$10*(1-EXP(-2*$C539/SQRT(PI()*H$9*H$10)))</f>
        <v>5.21465191004298E-005</v>
      </c>
    </row>
    <row r="540" customFormat="false" ht="15.75" hidden="false" customHeight="false" outlineLevel="0" collapsed="false">
      <c r="C540" s="0" t="n">
        <v>52.8</v>
      </c>
      <c r="D540" s="3" t="n">
        <f aca="false">D$8*D$10*(1-EXP(-2*$C540/SQRT(PI()*D$9*D$10)))</f>
        <v>0.000521465191128804</v>
      </c>
      <c r="E540" s="3" t="n">
        <f aca="false">E$8*E$10*(1-EXP(-2*$C540/SQRT(PI()*E$9*E$10)))</f>
        <v>0.000521350904811051</v>
      </c>
      <c r="F540" s="3" t="n">
        <f aca="false">F$8*F$10*(1-EXP(-2*$C540/SQRT(PI()*F$9*F$10)))</f>
        <v>0.00052011695389457</v>
      </c>
      <c r="G540" s="3" t="n">
        <f aca="false">G$8*G$10*(1-EXP(-2*$C540/SQRT(PI()*G$9*G$10)))</f>
        <v>0.000260675452405525</v>
      </c>
      <c r="H540" s="3" t="n">
        <f aca="false">H$8*H$10*(1-EXP(-2*$C540/SQRT(PI()*H$9*H$10)))</f>
        <v>5.21465191128804E-005</v>
      </c>
    </row>
    <row r="541" customFormat="false" ht="15.75" hidden="false" customHeight="false" outlineLevel="0" collapsed="false">
      <c r="C541" s="0" t="n">
        <v>52.9</v>
      </c>
      <c r="D541" s="3" t="n">
        <f aca="false">D$8*D$10*(1-EXP(-2*$C541/SQRT(PI()*D$9*D$10)))</f>
        <v>0.000521465191248946</v>
      </c>
      <c r="E541" s="3" t="n">
        <f aca="false">E$8*E$10*(1-EXP(-2*$C541/SQRT(PI()*E$9*E$10)))</f>
        <v>0.000521352714136788</v>
      </c>
      <c r="F541" s="3" t="n">
        <f aca="false">F$8*F$10*(1-EXP(-2*$C541/SQRT(PI()*F$9*F$10)))</f>
        <v>0.000520132081651579</v>
      </c>
      <c r="G541" s="3" t="n">
        <f aca="false">G$8*G$10*(1-EXP(-2*$C541/SQRT(PI()*G$9*G$10)))</f>
        <v>0.000260676357068394</v>
      </c>
      <c r="H541" s="3" t="n">
        <f aca="false">H$8*H$10*(1-EXP(-2*$C541/SQRT(PI()*H$9*H$10)))</f>
        <v>5.21465191248946E-005</v>
      </c>
    </row>
    <row r="542" customFormat="false" ht="15.75" hidden="false" customHeight="false" outlineLevel="0" collapsed="false">
      <c r="C542" s="0" t="n">
        <v>53</v>
      </c>
      <c r="D542" s="3" t="n">
        <f aca="false">D$8*D$10*(1-EXP(-2*$C542/SQRT(PI()*D$9*D$10)))</f>
        <v>0.000521465191364877</v>
      </c>
      <c r="E542" s="3" t="n">
        <f aca="false">E$8*E$10*(1-EXP(-2*$C542/SQRT(PI()*E$9*E$10)))</f>
        <v>0.000521354494819013</v>
      </c>
      <c r="F542" s="3" t="n">
        <f aca="false">F$8*F$10*(1-EXP(-2*$C542/SQRT(PI()*F$9*F$10)))</f>
        <v>0.00052014703966958</v>
      </c>
      <c r="G542" s="3" t="n">
        <f aca="false">G$8*G$10*(1-EXP(-2*$C542/SQRT(PI()*G$9*G$10)))</f>
        <v>0.000260677247409507</v>
      </c>
      <c r="H542" s="3" t="n">
        <f aca="false">H$8*H$10*(1-EXP(-2*$C542/SQRT(PI()*H$9*H$10)))</f>
        <v>5.21465191364877E-005</v>
      </c>
    </row>
    <row r="543" customFormat="false" ht="15.75" hidden="false" customHeight="false" outlineLevel="0" collapsed="false">
      <c r="C543" s="0" t="n">
        <v>53.1</v>
      </c>
      <c r="D543" s="3" t="n">
        <f aca="false">D$8*D$10*(1-EXP(-2*$C543/SQRT(PI()*D$9*D$10)))</f>
        <v>0.000521465191476743</v>
      </c>
      <c r="E543" s="3" t="n">
        <f aca="false">E$8*E$10*(1-EXP(-2*$C543/SQRT(PI()*E$9*E$10)))</f>
        <v>0.000521356247311183</v>
      </c>
      <c r="F543" s="3" t="n">
        <f aca="false">F$8*F$10*(1-EXP(-2*$C543/SQRT(PI()*F$9*F$10)))</f>
        <v>0.000520161829853108</v>
      </c>
      <c r="G543" s="3" t="n">
        <f aca="false">G$8*G$10*(1-EXP(-2*$C543/SQRT(PI()*G$9*G$10)))</f>
        <v>0.000260678123655592</v>
      </c>
      <c r="H543" s="3" t="n">
        <f aca="false">H$8*H$10*(1-EXP(-2*$C543/SQRT(PI()*H$9*H$10)))</f>
        <v>5.21465191476744E-005</v>
      </c>
    </row>
    <row r="544" customFormat="false" ht="15.75" hidden="false" customHeight="false" outlineLevel="0" collapsed="false">
      <c r="C544" s="0" t="n">
        <v>53.2</v>
      </c>
      <c r="D544" s="3" t="n">
        <f aca="false">D$8*D$10*(1-EXP(-2*$C544/SQRT(PI()*D$9*D$10)))</f>
        <v>0.000521465191584689</v>
      </c>
      <c r="E544" s="3" t="n">
        <f aca="false">E$8*E$10*(1-EXP(-2*$C544/SQRT(PI()*E$9*E$10)))</f>
        <v>0.000521357972059577</v>
      </c>
      <c r="F544" s="3" t="n">
        <f aca="false">F$8*F$10*(1-EXP(-2*$C544/SQRT(PI()*F$9*F$10)))</f>
        <v>0.000520176454085326</v>
      </c>
      <c r="G544" s="3" t="n">
        <f aca="false">G$8*G$10*(1-EXP(-2*$C544/SQRT(PI()*G$9*G$10)))</f>
        <v>0.000260678986029789</v>
      </c>
      <c r="H544" s="3" t="n">
        <f aca="false">H$8*H$10*(1-EXP(-2*$C544/SQRT(PI()*H$9*H$10)))</f>
        <v>5.21465191584689E-005</v>
      </c>
    </row>
    <row r="545" customFormat="false" ht="15.75" hidden="false" customHeight="false" outlineLevel="0" collapsed="false">
      <c r="C545" s="0" t="n">
        <v>53.3</v>
      </c>
      <c r="D545" s="3" t="n">
        <f aca="false">D$8*D$10*(1-EXP(-2*$C545/SQRT(PI()*D$9*D$10)))</f>
        <v>0.000521465191688851</v>
      </c>
      <c r="E545" s="3" t="n">
        <f aca="false">E$8*E$10*(1-EXP(-2*$C545/SQRT(PI()*E$9*E$10)))</f>
        <v>0.000521359669503407</v>
      </c>
      <c r="F545" s="3" t="n">
        <f aca="false">F$8*F$10*(1-EXP(-2*$C545/SQRT(PI()*F$9*F$10)))</f>
        <v>0.000520190914228271</v>
      </c>
      <c r="G545" s="3" t="n">
        <f aca="false">G$8*G$10*(1-EXP(-2*$C545/SQRT(PI()*G$9*G$10)))</f>
        <v>0.000260679834751703</v>
      </c>
      <c r="H545" s="3" t="n">
        <f aca="false">H$8*H$10*(1-EXP(-2*$C545/SQRT(PI()*H$9*H$10)))</f>
        <v>5.21465191688851E-005</v>
      </c>
    </row>
    <row r="546" customFormat="false" ht="15.75" hidden="false" customHeight="false" outlineLevel="0" collapsed="false">
      <c r="C546" s="0" t="n">
        <v>53.4</v>
      </c>
      <c r="D546" s="3" t="n">
        <f aca="false">D$8*D$10*(1-EXP(-2*$C546/SQRT(PI()*D$9*D$10)))</f>
        <v>0.000521465191789361</v>
      </c>
      <c r="E546" s="3" t="n">
        <f aca="false">E$8*E$10*(1-EXP(-2*$C546/SQRT(PI()*E$9*E$10)))</f>
        <v>0.000521361340074932</v>
      </c>
      <c r="F546" s="3" t="n">
        <f aca="false">F$8*F$10*(1-EXP(-2*$C546/SQRT(PI()*F$9*F$10)))</f>
        <v>0.000520205212123083</v>
      </c>
      <c r="G546" s="3" t="n">
        <f aca="false">G$8*G$10*(1-EXP(-2*$C546/SQRT(PI()*G$9*G$10)))</f>
        <v>0.000260680670037466</v>
      </c>
      <c r="H546" s="3" t="n">
        <f aca="false">H$8*H$10*(1-EXP(-2*$C546/SQRT(PI()*H$9*H$10)))</f>
        <v>5.21465191789361E-005</v>
      </c>
    </row>
    <row r="547" customFormat="false" ht="15.75" hidden="false" customHeight="false" outlineLevel="0" collapsed="false">
      <c r="C547" s="0" t="n">
        <v>53.5</v>
      </c>
      <c r="D547" s="3" t="n">
        <f aca="false">D$8*D$10*(1-EXP(-2*$C547/SQRT(PI()*D$9*D$10)))</f>
        <v>0.000521465191886348</v>
      </c>
      <c r="E547" s="3" t="n">
        <f aca="false">E$8*E$10*(1-EXP(-2*$C547/SQRT(PI()*E$9*E$10)))</f>
        <v>0.00052136298419957</v>
      </c>
      <c r="F547" s="3" t="n">
        <f aca="false">F$8*F$10*(1-EXP(-2*$C547/SQRT(PI()*F$9*F$10)))</f>
        <v>0.000520219349590248</v>
      </c>
      <c r="G547" s="3" t="n">
        <f aca="false">G$8*G$10*(1-EXP(-2*$C547/SQRT(PI()*G$9*G$10)))</f>
        <v>0.000260681492099785</v>
      </c>
      <c r="H547" s="3" t="n">
        <f aca="false">H$8*H$10*(1-EXP(-2*$C547/SQRT(PI()*H$9*H$10)))</f>
        <v>5.21465191886348E-005</v>
      </c>
    </row>
    <row r="548" customFormat="false" ht="15.75" hidden="false" customHeight="false" outlineLevel="0" collapsed="false">
      <c r="C548" s="0" t="n">
        <v>53.6</v>
      </c>
      <c r="D548" s="3" t="n">
        <f aca="false">D$8*D$10*(1-EXP(-2*$C548/SQRT(PI()*D$9*D$10)))</f>
        <v>0.000521465191979936</v>
      </c>
      <c r="E548" s="3" t="n">
        <f aca="false">E$8*E$10*(1-EXP(-2*$C548/SQRT(PI()*E$9*E$10)))</f>
        <v>0.000521364602296002</v>
      </c>
      <c r="F548" s="3" t="n">
        <f aca="false">F$8*F$10*(1-EXP(-2*$C548/SQRT(PI()*F$9*F$10)))</f>
        <v>0.000520233328429821</v>
      </c>
      <c r="G548" s="3" t="n">
        <f aca="false">G$8*G$10*(1-EXP(-2*$C548/SQRT(PI()*G$9*G$10)))</f>
        <v>0.000260682301148001</v>
      </c>
      <c r="H548" s="3" t="n">
        <f aca="false">H$8*H$10*(1-EXP(-2*$C548/SQRT(PI()*H$9*H$10)))</f>
        <v>5.21465191979936E-005</v>
      </c>
    </row>
    <row r="549" customFormat="false" ht="15.75" hidden="false" customHeight="false" outlineLevel="0" collapsed="false">
      <c r="C549" s="0" t="n">
        <v>53.7</v>
      </c>
      <c r="D549" s="3" t="n">
        <f aca="false">D$8*D$10*(1-EXP(-2*$C549/SQRT(PI()*D$9*D$10)))</f>
        <v>0.000521465192070243</v>
      </c>
      <c r="E549" s="3" t="n">
        <f aca="false">E$8*E$10*(1-EXP(-2*$C549/SQRT(PI()*E$9*E$10)))</f>
        <v>0.000521366194776281</v>
      </c>
      <c r="F549" s="3" t="n">
        <f aca="false">F$8*F$10*(1-EXP(-2*$C549/SQRT(PI()*F$9*F$10)))</f>
        <v>0.000520247150421664</v>
      </c>
      <c r="G549" s="3" t="n">
        <f aca="false">G$8*G$10*(1-EXP(-2*$C549/SQRT(PI()*G$9*G$10)))</f>
        <v>0.000260683097388141</v>
      </c>
      <c r="H549" s="3" t="n">
        <f aca="false">H$8*H$10*(1-EXP(-2*$C549/SQRT(PI()*H$9*H$10)))</f>
        <v>5.21465192070243E-005</v>
      </c>
    </row>
    <row r="550" customFormat="false" ht="15.75" hidden="false" customHeight="false" outlineLevel="0" collapsed="false">
      <c r="C550" s="0" t="n">
        <v>53.8</v>
      </c>
      <c r="D550" s="3" t="n">
        <f aca="false">D$8*D$10*(1-EXP(-2*$C550/SQRT(PI()*D$9*D$10)))</f>
        <v>0.000521465192157384</v>
      </c>
      <c r="E550" s="3" t="n">
        <f aca="false">E$8*E$10*(1-EXP(-2*$C550/SQRT(PI()*E$9*E$10)))</f>
        <v>0.000521367762045939</v>
      </c>
      <c r="F550" s="3" t="n">
        <f aca="false">F$8*F$10*(1-EXP(-2*$C550/SQRT(PI()*F$9*F$10)))</f>
        <v>0.000520260817325666</v>
      </c>
      <c r="G550" s="3" t="n">
        <f aca="false">G$8*G$10*(1-EXP(-2*$C550/SQRT(PI()*G$9*G$10)))</f>
        <v>0.000260683881022969</v>
      </c>
      <c r="H550" s="3" t="n">
        <f aca="false">H$8*H$10*(1-EXP(-2*$C550/SQRT(PI()*H$9*H$10)))</f>
        <v>5.21465192157384E-005</v>
      </c>
    </row>
    <row r="551" customFormat="false" ht="15.75" hidden="false" customHeight="false" outlineLevel="0" collapsed="false">
      <c r="C551" s="0" t="n">
        <v>53.9</v>
      </c>
      <c r="D551" s="3" t="n">
        <f aca="false">D$8*D$10*(1-EXP(-2*$C551/SQRT(PI()*D$9*D$10)))</f>
        <v>0.000521465192241471</v>
      </c>
      <c r="E551" s="3" t="n">
        <f aca="false">E$8*E$10*(1-EXP(-2*$C551/SQRT(PI()*E$9*E$10)))</f>
        <v>0.000521369304504085</v>
      </c>
      <c r="F551" s="3" t="n">
        <f aca="false">F$8*F$10*(1-EXP(-2*$C551/SQRT(PI()*F$9*F$10)))</f>
        <v>0.000520274330881968</v>
      </c>
      <c r="G551" s="3" t="n">
        <f aca="false">G$8*G$10*(1-EXP(-2*$C551/SQRT(PI()*G$9*G$10)))</f>
        <v>0.000260684652252042</v>
      </c>
      <c r="H551" s="3" t="n">
        <f aca="false">H$8*H$10*(1-EXP(-2*$C551/SQRT(PI()*H$9*H$10)))</f>
        <v>5.21465192241471E-005</v>
      </c>
    </row>
    <row r="552" customFormat="false" ht="15.75" hidden="false" customHeight="false" outlineLevel="0" collapsed="false">
      <c r="C552" s="0" t="n">
        <v>54</v>
      </c>
      <c r="D552" s="3" t="n">
        <f aca="false">D$8*D$10*(1-EXP(-2*$C552/SQRT(PI()*D$9*D$10)))</f>
        <v>0.00052146519232261</v>
      </c>
      <c r="E552" s="3" t="n">
        <f aca="false">E$8*E$10*(1-EXP(-2*$C552/SQRT(PI()*E$9*E$10)))</f>
        <v>0.000521370822543511</v>
      </c>
      <c r="F552" s="3" t="n">
        <f aca="false">F$8*F$10*(1-EXP(-2*$C552/SQRT(PI()*F$9*F$10)))</f>
        <v>0.00052028769281119</v>
      </c>
      <c r="G552" s="3" t="n">
        <f aca="false">G$8*G$10*(1-EXP(-2*$C552/SQRT(PI()*G$9*G$10)))</f>
        <v>0.000260685411271756</v>
      </c>
      <c r="H552" s="3" t="n">
        <f aca="false">H$8*H$10*(1-EXP(-2*$C552/SQRT(PI()*H$9*H$10)))</f>
        <v>5.2146519232261E-005</v>
      </c>
    </row>
    <row r="553" customFormat="false" ht="15.75" hidden="false" customHeight="false" outlineLevel="0" collapsed="false">
      <c r="C553" s="0" t="n">
        <v>54.1</v>
      </c>
      <c r="D553" s="3" t="n">
        <f aca="false">D$8*D$10*(1-EXP(-2*$C553/SQRT(PI()*D$9*D$10)))</f>
        <v>0.000521465192400905</v>
      </c>
      <c r="E553" s="3" t="n">
        <f aca="false">E$8*E$10*(1-EXP(-2*$C553/SQRT(PI()*E$9*E$10)))</f>
        <v>0.000521372316550792</v>
      </c>
      <c r="F553" s="3" t="n">
        <f aca="false">F$8*F$10*(1-EXP(-2*$C553/SQRT(PI()*F$9*F$10)))</f>
        <v>0.000520300904814642</v>
      </c>
      <c r="G553" s="3" t="n">
        <f aca="false">G$8*G$10*(1-EXP(-2*$C553/SQRT(PI()*G$9*G$10)))</f>
        <v>0.000260686158275396</v>
      </c>
      <c r="H553" s="3" t="n">
        <f aca="false">H$8*H$10*(1-EXP(-2*$C553/SQRT(PI()*H$9*H$10)))</f>
        <v>5.21465192400905E-005</v>
      </c>
    </row>
    <row r="554" customFormat="false" ht="15.75" hidden="false" customHeight="false" outlineLevel="0" collapsed="false">
      <c r="C554" s="0" t="n">
        <v>54.2</v>
      </c>
      <c r="D554" s="3" t="n">
        <f aca="false">D$8*D$10*(1-EXP(-2*$C554/SQRT(PI()*D$9*D$10)))</f>
        <v>0.000521465192476456</v>
      </c>
      <c r="E554" s="3" t="n">
        <f aca="false">E$8*E$10*(1-EXP(-2*$C554/SQRT(PI()*E$9*E$10)))</f>
        <v>0.000521373786906381</v>
      </c>
      <c r="F554" s="3" t="n">
        <f aca="false">F$8*F$10*(1-EXP(-2*$C554/SQRT(PI()*F$9*F$10)))</f>
        <v>0.000520313968574547</v>
      </c>
      <c r="G554" s="3" t="n">
        <f aca="false">G$8*G$10*(1-EXP(-2*$C554/SQRT(PI()*G$9*G$10)))</f>
        <v>0.000260686893453191</v>
      </c>
      <c r="H554" s="3" t="n">
        <f aca="false">H$8*H$10*(1-EXP(-2*$C554/SQRT(PI()*H$9*H$10)))</f>
        <v>5.21465192476456E-005</v>
      </c>
    </row>
    <row r="555" customFormat="false" ht="15.75" hidden="false" customHeight="false" outlineLevel="0" collapsed="false">
      <c r="C555" s="0" t="n">
        <v>54.3</v>
      </c>
      <c r="D555" s="3" t="n">
        <f aca="false">D$8*D$10*(1-EXP(-2*$C555/SQRT(PI()*D$9*D$10)))</f>
        <v>0.000521465192549358</v>
      </c>
      <c r="E555" s="3" t="n">
        <f aca="false">E$8*E$10*(1-EXP(-2*$C555/SQRT(PI()*E$9*E$10)))</f>
        <v>0.000521375233984709</v>
      </c>
      <c r="F555" s="3" t="n">
        <f aca="false">F$8*F$10*(1-EXP(-2*$C555/SQRT(PI()*F$9*F$10)))</f>
        <v>0.000520326885754253</v>
      </c>
      <c r="G555" s="3" t="n">
        <f aca="false">G$8*G$10*(1-EXP(-2*$C555/SQRT(PI()*G$9*G$10)))</f>
        <v>0.000260687616992355</v>
      </c>
      <c r="H555" s="3" t="n">
        <f aca="false">H$8*H$10*(1-EXP(-2*$C555/SQRT(PI()*H$9*H$10)))</f>
        <v>5.21465192549358E-005</v>
      </c>
    </row>
    <row r="556" customFormat="false" ht="15.75" hidden="false" customHeight="false" outlineLevel="0" collapsed="false">
      <c r="C556" s="0" t="n">
        <v>54.4</v>
      </c>
      <c r="D556" s="3" t="n">
        <f aca="false">D$8*D$10*(1-EXP(-2*$C556/SQRT(PI()*D$9*D$10)))</f>
        <v>0.000521465192619705</v>
      </c>
      <c r="E556" s="3" t="n">
        <f aca="false">E$8*E$10*(1-EXP(-2*$C556/SQRT(PI()*E$9*E$10)))</f>
        <v>0.00052137665815428</v>
      </c>
      <c r="F556" s="3" t="n">
        <f aca="false">F$8*F$10*(1-EXP(-2*$C556/SQRT(PI()*F$9*F$10)))</f>
        <v>0.000520339657998443</v>
      </c>
      <c r="G556" s="3" t="n">
        <f aca="false">G$8*G$10*(1-EXP(-2*$C556/SQRT(PI()*G$9*G$10)))</f>
        <v>0.00026068832907714</v>
      </c>
      <c r="H556" s="3" t="n">
        <f aca="false">H$8*H$10*(1-EXP(-2*$C556/SQRT(PI()*H$9*H$10)))</f>
        <v>5.21465192619705E-005</v>
      </c>
    </row>
    <row r="557" customFormat="false" ht="15.75" hidden="false" customHeight="false" outlineLevel="0" collapsed="false">
      <c r="C557" s="0" t="n">
        <v>54.5</v>
      </c>
      <c r="D557" s="3" t="n">
        <f aca="false">D$8*D$10*(1-EXP(-2*$C557/SQRT(PI()*D$9*D$10)))</f>
        <v>0.000521465192687586</v>
      </c>
      <c r="E557" s="3" t="n">
        <f aca="false">E$8*E$10*(1-EXP(-2*$C557/SQRT(PI()*E$9*E$10)))</f>
        <v>0.000521378059777763</v>
      </c>
      <c r="F557" s="3" t="n">
        <f aca="false">F$8*F$10*(1-EXP(-2*$C557/SQRT(PI()*F$9*F$10)))</f>
        <v>0.000520352286933346</v>
      </c>
      <c r="G557" s="3" t="n">
        <f aca="false">G$8*G$10*(1-EXP(-2*$C557/SQRT(PI()*G$9*G$10)))</f>
        <v>0.000260689029888881</v>
      </c>
      <c r="H557" s="3" t="n">
        <f aca="false">H$8*H$10*(1-EXP(-2*$C557/SQRT(PI()*H$9*H$10)))</f>
        <v>5.21465192687586E-005</v>
      </c>
    </row>
    <row r="558" customFormat="false" ht="15.75" hidden="false" customHeight="false" outlineLevel="0" collapsed="false">
      <c r="C558" s="0" t="n">
        <v>54.6</v>
      </c>
      <c r="D558" s="3" t="n">
        <f aca="false">D$8*D$10*(1-EXP(-2*$C558/SQRT(PI()*D$9*D$10)))</f>
        <v>0.000521465192753087</v>
      </c>
      <c r="E558" s="3" t="n">
        <f aca="false">E$8*E$10*(1-EXP(-2*$C558/SQRT(PI()*E$9*E$10)))</f>
        <v>0.000521379439212086</v>
      </c>
      <c r="F558" s="3" t="n">
        <f aca="false">F$8*F$10*(1-EXP(-2*$C558/SQRT(PI()*F$9*F$10)))</f>
        <v>0.000520364774166947</v>
      </c>
      <c r="G558" s="3" t="n">
        <f aca="false">G$8*G$10*(1-EXP(-2*$C558/SQRT(PI()*G$9*G$10)))</f>
        <v>0.000260689719606043</v>
      </c>
      <c r="H558" s="3" t="n">
        <f aca="false">H$8*H$10*(1-EXP(-2*$C558/SQRT(PI()*H$9*H$10)))</f>
        <v>5.21465192753087E-005</v>
      </c>
    </row>
    <row r="559" customFormat="false" ht="15.75" hidden="false" customHeight="false" outlineLevel="0" collapsed="false">
      <c r="C559" s="0" t="n">
        <v>54.7</v>
      </c>
      <c r="D559" s="3" t="n">
        <f aca="false">D$8*D$10*(1-EXP(-2*$C559/SQRT(PI()*D$9*D$10)))</f>
        <v>0.000521465192816292</v>
      </c>
      <c r="E559" s="3" t="n">
        <f aca="false">E$8*E$10*(1-EXP(-2*$C559/SQRT(PI()*E$9*E$10)))</f>
        <v>0.000521380796808526</v>
      </c>
      <c r="F559" s="3" t="n">
        <f aca="false">F$8*F$10*(1-EXP(-2*$C559/SQRT(PI()*F$9*F$10)))</f>
        <v>0.000520377121289186</v>
      </c>
      <c r="G559" s="3" t="n">
        <f aca="false">G$8*G$10*(1-EXP(-2*$C559/SQRT(PI()*G$9*G$10)))</f>
        <v>0.000260690398404263</v>
      </c>
      <c r="H559" s="3" t="n">
        <f aca="false">H$8*H$10*(1-EXP(-2*$C559/SQRT(PI()*H$9*H$10)))</f>
        <v>5.21465192816293E-005</v>
      </c>
    </row>
    <row r="560" customFormat="false" ht="15.75" hidden="false" customHeight="false" outlineLevel="0" collapsed="false">
      <c r="C560" s="0" t="n">
        <v>54.8</v>
      </c>
      <c r="D560" s="3" t="n">
        <f aca="false">D$8*D$10*(1-EXP(-2*$C560/SQRT(PI()*D$9*D$10)))</f>
        <v>0.000521465192877282</v>
      </c>
      <c r="E560" s="3" t="n">
        <f aca="false">E$8*E$10*(1-EXP(-2*$C560/SQRT(PI()*E$9*E$10)))</f>
        <v>0.0005213821329128</v>
      </c>
      <c r="F560" s="3" t="n">
        <f aca="false">F$8*F$10*(1-EXP(-2*$C560/SQRT(PI()*F$9*F$10)))</f>
        <v>0.000520389329872163</v>
      </c>
      <c r="G560" s="3" t="n">
        <f aca="false">G$8*G$10*(1-EXP(-2*$C560/SQRT(PI()*G$9*G$10)))</f>
        <v>0.0002606910664564</v>
      </c>
      <c r="H560" s="3" t="n">
        <f aca="false">H$8*H$10*(1-EXP(-2*$C560/SQRT(PI()*H$9*H$10)))</f>
        <v>5.21465192877282E-005</v>
      </c>
    </row>
    <row r="561" customFormat="false" ht="15.75" hidden="false" customHeight="false" outlineLevel="0" collapsed="false">
      <c r="C561" s="0" t="n">
        <v>54.9</v>
      </c>
      <c r="D561" s="3" t="n">
        <f aca="false">D$8*D$10*(1-EXP(-2*$C561/SQRT(PI()*D$9*D$10)))</f>
        <v>0.000521465192936134</v>
      </c>
      <c r="E561" s="3" t="n">
        <f aca="false">E$8*E$10*(1-EXP(-2*$C561/SQRT(PI()*E$9*E$10)))</f>
        <v>0.000521383447865151</v>
      </c>
      <c r="F561" s="3" t="n">
        <f aca="false">F$8*F$10*(1-EXP(-2*$C561/SQRT(PI()*F$9*F$10)))</f>
        <v>0.000520401401470341</v>
      </c>
      <c r="G561" s="3" t="n">
        <f aca="false">G$8*G$10*(1-EXP(-2*$C561/SQRT(PI()*G$9*G$10)))</f>
        <v>0.000260691723932576</v>
      </c>
      <c r="H561" s="3" t="n">
        <f aca="false">H$8*H$10*(1-EXP(-2*$C561/SQRT(PI()*H$9*H$10)))</f>
        <v>5.21465192936134E-005</v>
      </c>
    </row>
    <row r="562" customFormat="false" ht="15.75" hidden="false" customHeight="false" outlineLevel="0" collapsed="false">
      <c r="C562" s="0" t="n">
        <v>55</v>
      </c>
      <c r="D562" s="3" t="n">
        <f aca="false">D$8*D$10*(1-EXP(-2*$C562/SQRT(PI()*D$9*D$10)))</f>
        <v>0.000521465192992923</v>
      </c>
      <c r="E562" s="3" t="n">
        <f aca="false">E$8*E$10*(1-EXP(-2*$C562/SQRT(PI()*E$9*E$10)))</f>
        <v>0.000521384742000437</v>
      </c>
      <c r="F562" s="3" t="n">
        <f aca="false">F$8*F$10*(1-EXP(-2*$C562/SQRT(PI()*F$9*F$10)))</f>
        <v>0.00052041333762074</v>
      </c>
      <c r="G562" s="3" t="n">
        <f aca="false">G$8*G$10*(1-EXP(-2*$C562/SQRT(PI()*G$9*G$10)))</f>
        <v>0.000260692371000219</v>
      </c>
      <c r="H562" s="3" t="n">
        <f aca="false">H$8*H$10*(1-EXP(-2*$C562/SQRT(PI()*H$9*H$10)))</f>
        <v>5.21465192992923E-005</v>
      </c>
    </row>
    <row r="563" customFormat="false" ht="15.75" hidden="false" customHeight="false" outlineLevel="0" collapsed="false">
      <c r="C563" s="0" t="n">
        <v>55.1</v>
      </c>
      <c r="D563" s="3" t="n">
        <f aca="false">D$8*D$10*(1-EXP(-2*$C563/SQRT(PI()*D$9*D$10)))</f>
        <v>0.000521465193047722</v>
      </c>
      <c r="E563" s="3" t="n">
        <f aca="false">E$8*E$10*(1-EXP(-2*$C563/SQRT(PI()*E$9*E$10)))</f>
        <v>0.000521386015648213</v>
      </c>
      <c r="F563" s="3" t="n">
        <f aca="false">F$8*F$10*(1-EXP(-2*$C563/SQRT(PI()*F$9*F$10)))</f>
        <v>0.000520425139843133</v>
      </c>
      <c r="G563" s="3" t="n">
        <f aca="false">G$8*G$10*(1-EXP(-2*$C563/SQRT(PI()*G$9*G$10)))</f>
        <v>0.000260693007824107</v>
      </c>
      <c r="H563" s="3" t="n">
        <f aca="false">H$8*H$10*(1-EXP(-2*$C563/SQRT(PI()*H$9*H$10)))</f>
        <v>5.21465193047721E-005</v>
      </c>
    </row>
    <row r="564" customFormat="false" ht="15.75" hidden="false" customHeight="false" outlineLevel="0" collapsed="false">
      <c r="C564" s="0" t="n">
        <v>55.2</v>
      </c>
      <c r="D564" s="3" t="n">
        <f aca="false">D$8*D$10*(1-EXP(-2*$C564/SQRT(PI()*D$9*D$10)))</f>
        <v>0.000521465193100599</v>
      </c>
      <c r="E564" s="3" t="n">
        <f aca="false">E$8*E$10*(1-EXP(-2*$C564/SQRT(PI()*E$9*E$10)))</f>
        <v>0.000521387269132818</v>
      </c>
      <c r="F564" s="3" t="n">
        <f aca="false">F$8*F$10*(1-EXP(-2*$C564/SQRT(PI()*F$9*F$10)))</f>
        <v>0.000520436809640241</v>
      </c>
      <c r="G564" s="3" t="n">
        <f aca="false">G$8*G$10*(1-EXP(-2*$C564/SQRT(PI()*G$9*G$10)))</f>
        <v>0.000260693634566409</v>
      </c>
      <c r="H564" s="3" t="n">
        <f aca="false">H$8*H$10*(1-EXP(-2*$C564/SQRT(PI()*H$9*H$10)))</f>
        <v>5.21465193100599E-005</v>
      </c>
    </row>
    <row r="565" customFormat="false" ht="15.75" hidden="false" customHeight="false" outlineLevel="0" collapsed="false">
      <c r="C565" s="0" t="n">
        <v>55.3</v>
      </c>
      <c r="D565" s="3" t="n">
        <f aca="false">D$8*D$10*(1-EXP(-2*$C565/SQRT(PI()*D$9*D$10)))</f>
        <v>0.000521465193151623</v>
      </c>
      <c r="E565" s="3" t="n">
        <f aca="false">E$8*E$10*(1-EXP(-2*$C565/SQRT(PI()*E$9*E$10)))</f>
        <v>0.000521388502773456</v>
      </c>
      <c r="F565" s="3" t="n">
        <f aca="false">F$8*F$10*(1-EXP(-2*$C565/SQRT(PI()*F$9*F$10)))</f>
        <v>0.000520448348497927</v>
      </c>
      <c r="G565" s="3" t="n">
        <f aca="false">G$8*G$10*(1-EXP(-2*$C565/SQRT(PI()*G$9*G$10)))</f>
        <v>0.000260694251386728</v>
      </c>
      <c r="H565" s="3" t="n">
        <f aca="false">H$8*H$10*(1-EXP(-2*$C565/SQRT(PI()*H$9*H$10)))</f>
        <v>5.21465193151623E-005</v>
      </c>
    </row>
    <row r="566" customFormat="false" ht="15.75" hidden="false" customHeight="false" outlineLevel="0" collapsed="false">
      <c r="C566" s="0" t="n">
        <v>55.4</v>
      </c>
      <c r="D566" s="3" t="n">
        <f aca="false">D$8*D$10*(1-EXP(-2*$C566/SQRT(PI()*D$9*D$10)))</f>
        <v>0.000521465193200858</v>
      </c>
      <c r="E566" s="3" t="n">
        <f aca="false">E$8*E$10*(1-EXP(-2*$C566/SQRT(PI()*E$9*E$10)))</f>
        <v>0.000521389716884277</v>
      </c>
      <c r="F566" s="3" t="n">
        <f aca="false">F$8*F$10*(1-EXP(-2*$C566/SQRT(PI()*F$9*F$10)))</f>
        <v>0.000520459757885377</v>
      </c>
      <c r="G566" s="3" t="n">
        <f aca="false">G$8*G$10*(1-EXP(-2*$C566/SQRT(PI()*G$9*G$10)))</f>
        <v>0.000260694858442138</v>
      </c>
      <c r="H566" s="3" t="n">
        <f aca="false">H$8*H$10*(1-EXP(-2*$C566/SQRT(PI()*H$9*H$10)))</f>
        <v>5.21465193200858E-005</v>
      </c>
    </row>
    <row r="567" customFormat="false" ht="15.75" hidden="false" customHeight="false" outlineLevel="0" collapsed="false">
      <c r="C567" s="0" t="n">
        <v>55.5</v>
      </c>
      <c r="D567" s="3" t="n">
        <f aca="false">D$8*D$10*(1-EXP(-2*$C567/SQRT(PI()*D$9*D$10)))</f>
        <v>0.000521465193248368</v>
      </c>
      <c r="E567" s="3" t="n">
        <f aca="false">E$8*E$10*(1-EXP(-2*$C567/SQRT(PI()*E$9*E$10)))</f>
        <v>0.000521390911774459</v>
      </c>
      <c r="F567" s="3" t="n">
        <f aca="false">F$8*F$10*(1-EXP(-2*$C567/SQRT(PI()*F$9*F$10)))</f>
        <v>0.000520471039255296</v>
      </c>
      <c r="G567" s="3" t="n">
        <f aca="false">G$8*G$10*(1-EXP(-2*$C567/SQRT(PI()*G$9*G$10)))</f>
        <v>0.000260695455887229</v>
      </c>
      <c r="H567" s="3" t="n">
        <f aca="false">H$8*H$10*(1-EXP(-2*$C567/SQRT(PI()*H$9*H$10)))</f>
        <v>5.21465193248368E-005</v>
      </c>
    </row>
    <row r="568" customFormat="false" ht="15.75" hidden="false" customHeight="false" outlineLevel="0" collapsed="false">
      <c r="C568" s="0" t="n">
        <v>55.6</v>
      </c>
      <c r="D568" s="3" t="n">
        <f aca="false">D$8*D$10*(1-EXP(-2*$C568/SQRT(PI()*D$9*D$10)))</f>
        <v>0.000521465193294212</v>
      </c>
      <c r="E568" s="3" t="n">
        <f aca="false">E$8*E$10*(1-EXP(-2*$C568/SQRT(PI()*E$9*E$10)))</f>
        <v>0.000521392087748284</v>
      </c>
      <c r="F568" s="3" t="n">
        <f aca="false">F$8*F$10*(1-EXP(-2*$C568/SQRT(PI()*F$9*F$10)))</f>
        <v>0.000520482194044088</v>
      </c>
      <c r="G568" s="3" t="n">
        <f aca="false">G$8*G$10*(1-EXP(-2*$C568/SQRT(PI()*G$9*G$10)))</f>
        <v>0.000260696043874142</v>
      </c>
      <c r="H568" s="3" t="n">
        <f aca="false">H$8*H$10*(1-EXP(-2*$C568/SQRT(PI()*H$9*H$10)))</f>
        <v>5.21465193294212E-005</v>
      </c>
    </row>
    <row r="569" customFormat="false" ht="15.75" hidden="false" customHeight="false" outlineLevel="0" collapsed="false">
      <c r="C569" s="0" t="n">
        <v>55.7</v>
      </c>
      <c r="D569" s="3" t="n">
        <f aca="false">D$8*D$10*(1-EXP(-2*$C569/SQRT(PI()*D$9*D$10)))</f>
        <v>0.000521465193338449</v>
      </c>
      <c r="E569" s="3" t="n">
        <f aca="false">E$8*E$10*(1-EXP(-2*$C569/SQRT(PI()*E$9*E$10)))</f>
        <v>0.000521393245105218</v>
      </c>
      <c r="F569" s="3" t="n">
        <f aca="false">F$8*F$10*(1-EXP(-2*$C569/SQRT(PI()*F$9*F$10)))</f>
        <v>0.00052049322367204</v>
      </c>
      <c r="G569" s="3" t="n">
        <f aca="false">G$8*G$10*(1-EXP(-2*$C569/SQRT(PI()*G$9*G$10)))</f>
        <v>0.000260696622552609</v>
      </c>
      <c r="H569" s="3" t="n">
        <f aca="false">H$8*H$10*(1-EXP(-2*$C569/SQRT(PI()*H$9*H$10)))</f>
        <v>5.21465193338449E-005</v>
      </c>
    </row>
    <row r="570" customFormat="false" ht="15.75" hidden="false" customHeight="false" outlineLevel="0" collapsed="false">
      <c r="C570" s="0" t="n">
        <v>55.8</v>
      </c>
      <c r="D570" s="3" t="n">
        <f aca="false">D$8*D$10*(1-EXP(-2*$C570/SQRT(PI()*D$9*D$10)))</f>
        <v>0.000521465193381135</v>
      </c>
      <c r="E570" s="3" t="n">
        <f aca="false">E$8*E$10*(1-EXP(-2*$C570/SQRT(PI()*E$9*E$10)))</f>
        <v>0.000521394384139987</v>
      </c>
      <c r="F570" s="3" t="n">
        <f aca="false">F$8*F$10*(1-EXP(-2*$C570/SQRT(PI()*F$9*F$10)))</f>
        <v>0.000520504129543501</v>
      </c>
      <c r="G570" s="3" t="n">
        <f aca="false">G$8*G$10*(1-EXP(-2*$C570/SQRT(PI()*G$9*G$10)))</f>
        <v>0.000260697192069993</v>
      </c>
      <c r="H570" s="3" t="n">
        <f aca="false">H$8*H$10*(1-EXP(-2*$C570/SQRT(PI()*H$9*H$10)))</f>
        <v>5.21465193381135E-005</v>
      </c>
    </row>
    <row r="571" customFormat="false" ht="15.75" hidden="false" customHeight="false" outlineLevel="0" collapsed="false">
      <c r="C571" s="0" t="n">
        <v>55.9</v>
      </c>
      <c r="D571" s="3" t="n">
        <f aca="false">D$8*D$10*(1-EXP(-2*$C571/SQRT(PI()*D$9*D$10)))</f>
        <v>0.000521465193422326</v>
      </c>
      <c r="E571" s="3" t="n">
        <f aca="false">E$8*E$10*(1-EXP(-2*$C571/SQRT(PI()*E$9*E$10)))</f>
        <v>0.000521395505142648</v>
      </c>
      <c r="F571" s="3" t="n">
        <f aca="false">F$8*F$10*(1-EXP(-2*$C571/SQRT(PI()*F$9*F$10)))</f>
        <v>0.000520514913047067</v>
      </c>
      <c r="G571" s="3" t="n">
        <f aca="false">G$8*G$10*(1-EXP(-2*$C571/SQRT(PI()*G$9*G$10)))</f>
        <v>0.000260697752571324</v>
      </c>
      <c r="H571" s="3" t="n">
        <f aca="false">H$8*H$10*(1-EXP(-2*$C571/SQRT(PI()*H$9*H$10)))</f>
        <v>5.21465193422326E-005</v>
      </c>
    </row>
    <row r="572" customFormat="false" ht="15.75" hidden="false" customHeight="false" outlineLevel="0" collapsed="false">
      <c r="C572" s="0" t="n">
        <v>56</v>
      </c>
      <c r="D572" s="3" t="n">
        <f aca="false">D$8*D$10*(1-EXP(-2*$C572/SQRT(PI()*D$9*D$10)))</f>
        <v>0.000521465193462072</v>
      </c>
      <c r="E572" s="3" t="n">
        <f aca="false">E$8*E$10*(1-EXP(-2*$C572/SQRT(PI()*E$9*E$10)))</f>
        <v>0.00052139660839867</v>
      </c>
      <c r="F572" s="3" t="n">
        <f aca="false">F$8*F$10*(1-EXP(-2*$C572/SQRT(PI()*F$9*F$10)))</f>
        <v>0.000520525575555749</v>
      </c>
      <c r="G572" s="3" t="n">
        <f aca="false">G$8*G$10*(1-EXP(-2*$C572/SQRT(PI()*G$9*G$10)))</f>
        <v>0.000260698304199335</v>
      </c>
      <c r="H572" s="3" t="n">
        <f aca="false">H$8*H$10*(1-EXP(-2*$C572/SQRT(PI()*H$9*H$10)))</f>
        <v>5.21465193462072E-005</v>
      </c>
    </row>
    <row r="573" customFormat="false" ht="15.75" hidden="false" customHeight="false" outlineLevel="0" collapsed="false">
      <c r="C573" s="0" t="n">
        <v>56.1</v>
      </c>
      <c r="D573" s="3" t="n">
        <f aca="false">D$8*D$10*(1-EXP(-2*$C573/SQRT(PI()*D$9*D$10)))</f>
        <v>0.000521465193500425</v>
      </c>
      <c r="E573" s="3" t="n">
        <f aca="false">E$8*E$10*(1-EXP(-2*$C573/SQRT(PI()*E$9*E$10)))</f>
        <v>0.000521397694188999</v>
      </c>
      <c r="F573" s="3" t="n">
        <f aca="false">F$8*F$10*(1-EXP(-2*$C573/SQRT(PI()*F$9*F$10)))</f>
        <v>0.000520536118427155</v>
      </c>
      <c r="G573" s="3" t="n">
        <f aca="false">G$8*G$10*(1-EXP(-2*$C573/SQRT(PI()*G$9*G$10)))</f>
        <v>0.000260698847094499</v>
      </c>
      <c r="H573" s="3" t="n">
        <f aca="false">H$8*H$10*(1-EXP(-2*$C573/SQRT(PI()*H$9*H$10)))</f>
        <v>5.21465193500425E-005</v>
      </c>
    </row>
    <row r="574" customFormat="false" ht="15.75" hidden="false" customHeight="false" outlineLevel="0" collapsed="false">
      <c r="C574" s="0" t="n">
        <v>56.2</v>
      </c>
      <c r="D574" s="3" t="n">
        <f aca="false">D$8*D$10*(1-EXP(-2*$C574/SQRT(PI()*D$9*D$10)))</f>
        <v>0.000521465193537434</v>
      </c>
      <c r="E574" s="3" t="n">
        <f aca="false">E$8*E$10*(1-EXP(-2*$C574/SQRT(PI()*E$9*E$10)))</f>
        <v>0.000521398762790136</v>
      </c>
      <c r="F574" s="3" t="n">
        <f aca="false">F$8*F$10*(1-EXP(-2*$C574/SQRT(PI()*F$9*F$10)))</f>
        <v>0.000520546543003659</v>
      </c>
      <c r="G574" s="3" t="n">
        <f aca="false">G$8*G$10*(1-EXP(-2*$C574/SQRT(PI()*G$9*G$10)))</f>
        <v>0.000260699381395068</v>
      </c>
      <c r="H574" s="3" t="n">
        <f aca="false">H$8*H$10*(1-EXP(-2*$C574/SQRT(PI()*H$9*H$10)))</f>
        <v>5.21465193537434E-005</v>
      </c>
    </row>
    <row r="575" customFormat="false" ht="15.75" hidden="false" customHeight="false" outlineLevel="0" collapsed="false">
      <c r="C575" s="0" t="n">
        <v>56.3</v>
      </c>
      <c r="D575" s="3" t="n">
        <f aca="false">D$8*D$10*(1-EXP(-2*$C575/SQRT(PI()*D$9*D$10)))</f>
        <v>0.000521465193573145</v>
      </c>
      <c r="E575" s="3" t="n">
        <f aca="false">E$8*E$10*(1-EXP(-2*$C575/SQRT(PI()*E$9*E$10)))</f>
        <v>0.000521399814474204</v>
      </c>
      <c r="F575" s="3" t="n">
        <f aca="false">F$8*F$10*(1-EXP(-2*$C575/SQRT(PI()*F$9*F$10)))</f>
        <v>0.000520556850612573</v>
      </c>
      <c r="G575" s="3" t="n">
        <f aca="false">G$8*G$10*(1-EXP(-2*$C575/SQRT(PI()*G$9*G$10)))</f>
        <v>0.000260699907237102</v>
      </c>
      <c r="H575" s="3" t="n">
        <f aca="false">H$8*H$10*(1-EXP(-2*$C575/SQRT(PI()*H$9*H$10)))</f>
        <v>5.21465193573145E-005</v>
      </c>
    </row>
    <row r="576" customFormat="false" ht="15.75" hidden="false" customHeight="false" outlineLevel="0" collapsed="false">
      <c r="C576" s="0" t="n">
        <v>56.4</v>
      </c>
      <c r="D576" s="3" t="n">
        <f aca="false">D$8*D$10*(1-EXP(-2*$C576/SQRT(PI()*D$9*D$10)))</f>
        <v>0.000521465193607605</v>
      </c>
      <c r="E576" s="3" t="n">
        <f aca="false">E$8*E$10*(1-EXP(-2*$C576/SQRT(PI()*E$9*E$10)))</f>
        <v>0.000521400849509017</v>
      </c>
      <c r="F576" s="3" t="n">
        <f aca="false">F$8*F$10*(1-EXP(-2*$C576/SQRT(PI()*F$9*F$10)))</f>
        <v>0.000520567042566318</v>
      </c>
      <c r="G576" s="3" t="n">
        <f aca="false">G$8*G$10*(1-EXP(-2*$C576/SQRT(PI()*G$9*G$10)))</f>
        <v>0.000260700424754509</v>
      </c>
      <c r="H576" s="3" t="n">
        <f aca="false">H$8*H$10*(1-EXP(-2*$C576/SQRT(PI()*H$9*H$10)))</f>
        <v>5.21465193607605E-005</v>
      </c>
    </row>
    <row r="577" customFormat="false" ht="15.75" hidden="false" customHeight="false" outlineLevel="0" collapsed="false">
      <c r="C577" s="0" t="n">
        <v>56.5</v>
      </c>
      <c r="D577" s="3" t="n">
        <f aca="false">D$8*D$10*(1-EXP(-2*$C577/SQRT(PI()*D$9*D$10)))</f>
        <v>0.000521465193640856</v>
      </c>
      <c r="E577" s="3" t="n">
        <f aca="false">E$8*E$10*(1-EXP(-2*$C577/SQRT(PI()*E$9*E$10)))</f>
        <v>0.000521401868158151</v>
      </c>
      <c r="F577" s="3" t="n">
        <f aca="false">F$8*F$10*(1-EXP(-2*$C577/SQRT(PI()*F$9*F$10)))</f>
        <v>0.000520577120162586</v>
      </c>
      <c r="G577" s="3" t="n">
        <f aca="false">G$8*G$10*(1-EXP(-2*$C577/SQRT(PI()*G$9*G$10)))</f>
        <v>0.000260700934079075</v>
      </c>
      <c r="H577" s="3" t="n">
        <f aca="false">H$8*H$10*(1-EXP(-2*$C577/SQRT(PI()*H$9*H$10)))</f>
        <v>5.21465193640856E-005</v>
      </c>
    </row>
    <row r="578" customFormat="false" ht="15.75" hidden="false" customHeight="false" outlineLevel="0" collapsed="false">
      <c r="C578" s="0" t="n">
        <v>56.6</v>
      </c>
      <c r="D578" s="3" t="n">
        <f aca="false">D$8*D$10*(1-EXP(-2*$C578/SQRT(PI()*D$9*D$10)))</f>
        <v>0.000521465193672942</v>
      </c>
      <c r="E578" s="3" t="n">
        <f aca="false">E$8*E$10*(1-EXP(-2*$C578/SQRT(PI()*E$9*E$10)))</f>
        <v>0.000521402870681008</v>
      </c>
      <c r="F578" s="3" t="n">
        <f aca="false">F$8*F$10*(1-EXP(-2*$C578/SQRT(PI()*F$9*F$10)))</f>
        <v>0.00052058708468451</v>
      </c>
      <c r="G578" s="3" t="n">
        <f aca="false">G$8*G$10*(1-EXP(-2*$C578/SQRT(PI()*G$9*G$10)))</f>
        <v>0.000260701435340504</v>
      </c>
      <c r="H578" s="3" t="n">
        <f aca="false">H$8*H$10*(1-EXP(-2*$C578/SQRT(PI()*H$9*H$10)))</f>
        <v>5.21465193672942E-005</v>
      </c>
    </row>
    <row r="579" customFormat="false" ht="15.75" hidden="false" customHeight="false" outlineLevel="0" collapsed="false">
      <c r="C579" s="0" t="n">
        <v>56.7</v>
      </c>
      <c r="D579" s="3" t="n">
        <f aca="false">D$8*D$10*(1-EXP(-2*$C579/SQRT(PI()*D$9*D$10)))</f>
        <v>0.000521465193703904</v>
      </c>
      <c r="E579" s="3" t="n">
        <f aca="false">E$8*E$10*(1-EXP(-2*$C579/SQRT(PI()*E$9*E$10)))</f>
        <v>0.000521403857332883</v>
      </c>
      <c r="F579" s="3" t="n">
        <f aca="false">F$8*F$10*(1-EXP(-2*$C579/SQRT(PI()*F$9*F$10)))</f>
        <v>0.000520596937400827</v>
      </c>
      <c r="G579" s="3" t="n">
        <f aca="false">G$8*G$10*(1-EXP(-2*$C579/SQRT(PI()*G$9*G$10)))</f>
        <v>0.000260701928666442</v>
      </c>
      <c r="H579" s="3" t="n">
        <f aca="false">H$8*H$10*(1-EXP(-2*$C579/SQRT(PI()*H$9*H$10)))</f>
        <v>5.21465193703904E-005</v>
      </c>
    </row>
    <row r="580" customFormat="false" ht="15.75" hidden="false" customHeight="false" outlineLevel="0" collapsed="false">
      <c r="C580" s="0" t="n">
        <v>56.8</v>
      </c>
      <c r="D580" s="3" t="n">
        <f aca="false">D$8*D$10*(1-EXP(-2*$C580/SQRT(PI()*D$9*D$10)))</f>
        <v>0.00052146519373378</v>
      </c>
      <c r="E580" s="3" t="n">
        <f aca="false">E$8*E$10*(1-EXP(-2*$C580/SQRT(PI()*E$9*E$10)))</f>
        <v>0.000521404828365032</v>
      </c>
      <c r="F580" s="3" t="n">
        <f aca="false">F$8*F$10*(1-EXP(-2*$C580/SQRT(PI()*F$9*F$10)))</f>
        <v>0.000520606679566036</v>
      </c>
      <c r="G580" s="3" t="n">
        <f aca="false">G$8*G$10*(1-EXP(-2*$C580/SQRT(PI()*G$9*G$10)))</f>
        <v>0.000260702414182516</v>
      </c>
      <c r="H580" s="3" t="n">
        <f aca="false">H$8*H$10*(1-EXP(-2*$C580/SQRT(PI()*H$9*H$10)))</f>
        <v>5.2146519373378E-005</v>
      </c>
    </row>
    <row r="581" customFormat="false" ht="15.75" hidden="false" customHeight="false" outlineLevel="0" collapsed="false">
      <c r="C581" s="0" t="n">
        <v>56.9</v>
      </c>
      <c r="D581" s="3" t="n">
        <f aca="false">D$8*D$10*(1-EXP(-2*$C581/SQRT(PI()*D$9*D$10)))</f>
        <v>0.000521465193762609</v>
      </c>
      <c r="E581" s="3" t="n">
        <f aca="false">E$8*E$10*(1-EXP(-2*$C581/SQRT(PI()*E$9*E$10)))</f>
        <v>0.000521405784024729</v>
      </c>
      <c r="F581" s="3" t="n">
        <f aca="false">F$8*F$10*(1-EXP(-2*$C581/SQRT(PI()*F$9*F$10)))</f>
        <v>0.000520616312420562</v>
      </c>
      <c r="G581" s="3" t="n">
        <f aca="false">G$8*G$10*(1-EXP(-2*$C581/SQRT(PI()*G$9*G$10)))</f>
        <v>0.000260702892012365</v>
      </c>
      <c r="H581" s="3" t="n">
        <f aca="false">H$8*H$10*(1-EXP(-2*$C581/SQRT(PI()*H$9*H$10)))</f>
        <v>5.21465193762609E-005</v>
      </c>
    </row>
    <row r="582" customFormat="false" ht="15.75" hidden="false" customHeight="false" outlineLevel="0" collapsed="false">
      <c r="C582" s="0" t="n">
        <v>57</v>
      </c>
      <c r="D582" s="3" t="n">
        <f aca="false">D$8*D$10*(1-EXP(-2*$C582/SQRT(PI()*D$9*D$10)))</f>
        <v>0.000521465193790427</v>
      </c>
      <c r="E582" s="3" t="n">
        <f aca="false">E$8*E$10*(1-EXP(-2*$C582/SQRT(PI()*E$9*E$10)))</f>
        <v>0.000521406724555338</v>
      </c>
      <c r="F582" s="3" t="n">
        <f aca="false">F$8*F$10*(1-EXP(-2*$C582/SQRT(PI()*F$9*F$10)))</f>
        <v>0.000520625837190911</v>
      </c>
      <c r="G582" s="3" t="n">
        <f aca="false">G$8*G$10*(1-EXP(-2*$C582/SQRT(PI()*G$9*G$10)))</f>
        <v>0.000260703362277669</v>
      </c>
      <c r="H582" s="3" t="n">
        <f aca="false">H$8*H$10*(1-EXP(-2*$C582/SQRT(PI()*H$9*H$10)))</f>
        <v>5.21465193790427E-005</v>
      </c>
    </row>
    <row r="583" customFormat="false" ht="15.75" hidden="false" customHeight="false" outlineLevel="0" collapsed="false">
      <c r="C583" s="0" t="n">
        <v>57.1</v>
      </c>
      <c r="D583" s="3" t="n">
        <f aca="false">D$8*D$10*(1-EXP(-2*$C583/SQRT(PI()*D$9*D$10)))</f>
        <v>0.00052146519381727</v>
      </c>
      <c r="E583" s="3" t="n">
        <f aca="false">E$8*E$10*(1-EXP(-2*$C583/SQRT(PI()*E$9*E$10)))</f>
        <v>0.000521407650196368</v>
      </c>
      <c r="F583" s="3" t="n">
        <f aca="false">F$8*F$10*(1-EXP(-2*$C583/SQRT(PI()*F$9*F$10)))</f>
        <v>0.000520635255089827</v>
      </c>
      <c r="G583" s="3" t="n">
        <f aca="false">G$8*G$10*(1-EXP(-2*$C583/SQRT(PI()*G$9*G$10)))</f>
        <v>0.000260703825098184</v>
      </c>
      <c r="H583" s="3" t="n">
        <f aca="false">H$8*H$10*(1-EXP(-2*$C583/SQRT(PI()*H$9*H$10)))</f>
        <v>5.2146519381727E-005</v>
      </c>
    </row>
    <row r="584" customFormat="false" ht="15.75" hidden="false" customHeight="false" outlineLevel="0" collapsed="false">
      <c r="C584" s="0" t="n">
        <v>57.2</v>
      </c>
      <c r="D584" s="3" t="n">
        <f aca="false">D$8*D$10*(1-EXP(-2*$C584/SQRT(PI()*D$9*D$10)))</f>
        <v>0.000521465193843172</v>
      </c>
      <c r="E584" s="3" t="n">
        <f aca="false">E$8*E$10*(1-EXP(-2*$C584/SQRT(PI()*E$9*E$10)))</f>
        <v>0.000521408561183536</v>
      </c>
      <c r="F584" s="3" t="n">
        <f aca="false">F$8*F$10*(1-EXP(-2*$C584/SQRT(PI()*F$9*F$10)))</f>
        <v>0.000520644567316447</v>
      </c>
      <c r="G584" s="3" t="n">
        <f aca="false">G$8*G$10*(1-EXP(-2*$C584/SQRT(PI()*G$9*G$10)))</f>
        <v>0.000260704280591768</v>
      </c>
      <c r="H584" s="3" t="n">
        <f aca="false">H$8*H$10*(1-EXP(-2*$C584/SQRT(PI()*H$9*H$10)))</f>
        <v>5.21465193843172E-005</v>
      </c>
    </row>
    <row r="585" customFormat="false" ht="15.75" hidden="false" customHeight="false" outlineLevel="0" collapsed="false">
      <c r="C585" s="0" t="n">
        <v>57.3</v>
      </c>
      <c r="D585" s="3" t="n">
        <f aca="false">D$8*D$10*(1-EXP(-2*$C585/SQRT(PI()*D$9*D$10)))</f>
        <v>0.000521465193868166</v>
      </c>
      <c r="E585" s="3" t="n">
        <f aca="false">E$8*E$10*(1-EXP(-2*$C585/SQRT(PI()*E$9*E$10)))</f>
        <v>0.000521409457748828</v>
      </c>
      <c r="F585" s="3" t="n">
        <f aca="false">F$8*F$10*(1-EXP(-2*$C585/SQRT(PI()*F$9*F$10)))</f>
        <v>0.000520653775056453</v>
      </c>
      <c r="G585" s="3" t="n">
        <f aca="false">G$8*G$10*(1-EXP(-2*$C585/SQRT(PI()*G$9*G$10)))</f>
        <v>0.000260704728874414</v>
      </c>
      <c r="H585" s="3" t="n">
        <f aca="false">H$8*H$10*(1-EXP(-2*$C585/SQRT(PI()*H$9*H$10)))</f>
        <v>5.21465193868166E-005</v>
      </c>
    </row>
    <row r="586" customFormat="false" ht="15.75" hidden="false" customHeight="false" outlineLevel="0" collapsed="false">
      <c r="C586" s="0" t="n">
        <v>57.4</v>
      </c>
      <c r="D586" s="3" t="n">
        <f aca="false">D$8*D$10*(1-EXP(-2*$C586/SQRT(PI()*D$9*D$10)))</f>
        <v>0.000521465193892284</v>
      </c>
      <c r="E586" s="3" t="n">
        <f aca="false">E$8*E$10*(1-EXP(-2*$C586/SQRT(PI()*E$9*E$10)))</f>
        <v>0.000521410340120557</v>
      </c>
      <c r="F586" s="3" t="n">
        <f aca="false">F$8*F$10*(1-EXP(-2*$C586/SQRT(PI()*F$9*F$10)))</f>
        <v>0.000520662879482224</v>
      </c>
      <c r="G586" s="3" t="n">
        <f aca="false">G$8*G$10*(1-EXP(-2*$C586/SQRT(PI()*G$9*G$10)))</f>
        <v>0.000260705170060279</v>
      </c>
      <c r="H586" s="3" t="n">
        <f aca="false">H$8*H$10*(1-EXP(-2*$C586/SQRT(PI()*H$9*H$10)))</f>
        <v>5.21465193892284E-005</v>
      </c>
    </row>
    <row r="587" customFormat="false" ht="15.75" hidden="false" customHeight="false" outlineLevel="0" collapsed="false">
      <c r="C587" s="0" t="n">
        <v>57.5</v>
      </c>
      <c r="D587" s="3" t="n">
        <f aca="false">D$8*D$10*(1-EXP(-2*$C587/SQRT(PI()*D$9*D$10)))</f>
        <v>0.000521465193915557</v>
      </c>
      <c r="E587" s="3" t="n">
        <f aca="false">E$8*E$10*(1-EXP(-2*$C587/SQRT(PI()*E$9*E$10)))</f>
        <v>0.000521411208523423</v>
      </c>
      <c r="F587" s="3" t="n">
        <f aca="false">F$8*F$10*(1-EXP(-2*$C587/SQRT(PI()*F$9*F$10)))</f>
        <v>0.000520671881752982</v>
      </c>
      <c r="G587" s="3" t="n">
        <f aca="false">G$8*G$10*(1-EXP(-2*$C587/SQRT(PI()*G$9*G$10)))</f>
        <v>0.000260705604261711</v>
      </c>
      <c r="H587" s="3" t="n">
        <f aca="false">H$8*H$10*(1-EXP(-2*$C587/SQRT(PI()*H$9*H$10)))</f>
        <v>5.21465193915557E-005</v>
      </c>
    </row>
    <row r="588" customFormat="false" ht="15.75" hidden="false" customHeight="false" outlineLevel="0" collapsed="false">
      <c r="C588" s="0" t="n">
        <v>57.6</v>
      </c>
      <c r="D588" s="3" t="n">
        <f aca="false">D$8*D$10*(1-EXP(-2*$C588/SQRT(PI()*D$9*D$10)))</f>
        <v>0.000521465193938014</v>
      </c>
      <c r="E588" s="3" t="n">
        <f aca="false">E$8*E$10*(1-EXP(-2*$C588/SQRT(PI()*E$9*E$10)))</f>
        <v>0.000521412063178566</v>
      </c>
      <c r="F588" s="3" t="n">
        <f aca="false">F$8*F$10*(1-EXP(-2*$C588/SQRT(PI()*F$9*F$10)))</f>
        <v>0.000520680783014946</v>
      </c>
      <c r="G588" s="3" t="n">
        <f aca="false">G$8*G$10*(1-EXP(-2*$C588/SQRT(PI()*G$9*G$10)))</f>
        <v>0.000260706031589283</v>
      </c>
      <c r="H588" s="3" t="n">
        <f aca="false">H$8*H$10*(1-EXP(-2*$C588/SQRT(PI()*H$9*H$10)))</f>
        <v>5.21465193938014E-005</v>
      </c>
    </row>
    <row r="589" customFormat="false" ht="15.75" hidden="false" customHeight="false" outlineLevel="0" collapsed="false">
      <c r="C589" s="0" t="n">
        <v>57.7</v>
      </c>
      <c r="D589" s="3" t="n">
        <f aca="false">D$8*D$10*(1-EXP(-2*$C589/SQRT(PI()*D$9*D$10)))</f>
        <v>0.000521465193959684</v>
      </c>
      <c r="E589" s="3" t="n">
        <f aca="false">E$8*E$10*(1-EXP(-2*$C589/SQRT(PI()*E$9*E$10)))</f>
        <v>0.000521412904303628</v>
      </c>
      <c r="F589" s="3" t="n">
        <f aca="false">F$8*F$10*(1-EXP(-2*$C589/SQRT(PI()*F$9*F$10)))</f>
        <v>0.00052068958440147</v>
      </c>
      <c r="G589" s="3" t="n">
        <f aca="false">G$8*G$10*(1-EXP(-2*$C589/SQRT(PI()*G$9*G$10)))</f>
        <v>0.000260706452151814</v>
      </c>
      <c r="H589" s="3" t="n">
        <f aca="false">H$8*H$10*(1-EXP(-2*$C589/SQRT(PI()*H$9*H$10)))</f>
        <v>5.21465193959684E-005</v>
      </c>
    </row>
    <row r="590" customFormat="false" ht="15.75" hidden="false" customHeight="false" outlineLevel="0" collapsed="false">
      <c r="C590" s="0" t="n">
        <v>57.8</v>
      </c>
      <c r="D590" s="3" t="n">
        <f aca="false">D$8*D$10*(1-EXP(-2*$C590/SQRT(PI()*D$9*D$10)))</f>
        <v>0.000521465193980594</v>
      </c>
      <c r="E590" s="3" t="n">
        <f aca="false">E$8*E$10*(1-EXP(-2*$C590/SQRT(PI()*E$9*E$10)))</f>
        <v>0.000521413732112804</v>
      </c>
      <c r="F590" s="3" t="n">
        <f aca="false">F$8*F$10*(1-EXP(-2*$C590/SQRT(PI()*F$9*F$10)))</f>
        <v>0.000520698287033195</v>
      </c>
      <c r="G590" s="3" t="n">
        <f aca="false">G$8*G$10*(1-EXP(-2*$C590/SQRT(PI()*G$9*G$10)))</f>
        <v>0.000260706866056402</v>
      </c>
      <c r="H590" s="3" t="n">
        <f aca="false">H$8*H$10*(1-EXP(-2*$C590/SQRT(PI()*H$9*H$10)))</f>
        <v>5.21465193980594E-005</v>
      </c>
    </row>
    <row r="591" customFormat="false" ht="15.75" hidden="false" customHeight="false" outlineLevel="0" collapsed="false">
      <c r="C591" s="0" t="n">
        <v>57.9</v>
      </c>
      <c r="D591" s="3" t="n">
        <f aca="false">D$8*D$10*(1-EXP(-2*$C591/SQRT(PI()*D$9*D$10)))</f>
        <v>0.000521465194000771</v>
      </c>
      <c r="E591" s="3" t="n">
        <f aca="false">E$8*E$10*(1-EXP(-2*$C591/SQRT(PI()*E$9*E$10)))</f>
        <v>0.000521414546816899</v>
      </c>
      <c r="F591" s="3" t="n">
        <f aca="false">F$8*F$10*(1-EXP(-2*$C591/SQRT(PI()*F$9*F$10)))</f>
        <v>0.000520706892018185</v>
      </c>
      <c r="G591" s="3" t="n">
        <f aca="false">G$8*G$10*(1-EXP(-2*$C591/SQRT(PI()*G$9*G$10)))</f>
        <v>0.000260707273408449</v>
      </c>
      <c r="H591" s="3" t="n">
        <f aca="false">H$8*H$10*(1-EXP(-2*$C591/SQRT(PI()*H$9*H$10)))</f>
        <v>5.21465194000771E-005</v>
      </c>
    </row>
    <row r="592" customFormat="false" ht="15.75" hidden="false" customHeight="false" outlineLevel="0" collapsed="false">
      <c r="C592" s="0" t="n">
        <v>58</v>
      </c>
      <c r="D592" s="3" t="n">
        <f aca="false">D$8*D$10*(1-EXP(-2*$C592/SQRT(PI()*D$9*D$10)))</f>
        <v>0.000521465194020241</v>
      </c>
      <c r="E592" s="3" t="n">
        <f aca="false">E$8*E$10*(1-EXP(-2*$C592/SQRT(PI()*E$9*E$10)))</f>
        <v>0.000521415348623379</v>
      </c>
      <c r="F592" s="3" t="n">
        <f aca="false">F$8*F$10*(1-EXP(-2*$C592/SQRT(PI()*F$9*F$10)))</f>
        <v>0.000520715400452073</v>
      </c>
      <c r="G592" s="3" t="n">
        <f aca="false">G$8*G$10*(1-EXP(-2*$C592/SQRT(PI()*G$9*G$10)))</f>
        <v>0.000260707674311689</v>
      </c>
      <c r="H592" s="3" t="n">
        <f aca="false">H$8*H$10*(1-EXP(-2*$C592/SQRT(PI()*H$9*H$10)))</f>
        <v>5.21465194020241E-005</v>
      </c>
    </row>
    <row r="593" customFormat="false" ht="15.75" hidden="false" customHeight="false" outlineLevel="0" collapsed="false">
      <c r="C593" s="0" t="n">
        <v>58.1</v>
      </c>
      <c r="D593" s="3" t="n">
        <f aca="false">D$8*D$10*(1-EXP(-2*$C593/SQRT(PI()*D$9*D$10)))</f>
        <v>0.000521465194039028</v>
      </c>
      <c r="E593" s="3" t="n">
        <f aca="false">E$8*E$10*(1-EXP(-2*$C593/SQRT(PI()*E$9*E$10)))</f>
        <v>0.000521416137736426</v>
      </c>
      <c r="F593" s="3" t="n">
        <f aca="false">F$8*F$10*(1-EXP(-2*$C593/SQRT(PI()*F$9*F$10)))</f>
        <v>0.000520723813418197</v>
      </c>
      <c r="G593" s="3" t="n">
        <f aca="false">G$8*G$10*(1-EXP(-2*$C593/SQRT(PI()*G$9*G$10)))</f>
        <v>0.000260708068868213</v>
      </c>
      <c r="H593" s="3" t="n">
        <f aca="false">H$8*H$10*(1-EXP(-2*$C593/SQRT(PI()*H$9*H$10)))</f>
        <v>5.21465194039028E-005</v>
      </c>
    </row>
    <row r="594" customFormat="false" ht="15.75" hidden="false" customHeight="false" outlineLevel="0" collapsed="false">
      <c r="C594" s="0" t="n">
        <v>58.2</v>
      </c>
      <c r="D594" s="3" t="n">
        <f aca="false">D$8*D$10*(1-EXP(-2*$C594/SQRT(PI()*D$9*D$10)))</f>
        <v>0.000521465194057157</v>
      </c>
      <c r="E594" s="3" t="n">
        <f aca="false">E$8*E$10*(1-EXP(-2*$C594/SQRT(PI()*E$9*E$10)))</f>
        <v>0.000521416914356993</v>
      </c>
      <c r="F594" s="3" t="n">
        <f aca="false">F$8*F$10*(1-EXP(-2*$C594/SQRT(PI()*F$9*F$10)))</f>
        <v>0.000520732131987742</v>
      </c>
      <c r="G594" s="3" t="n">
        <f aca="false">G$8*G$10*(1-EXP(-2*$C594/SQRT(PI()*G$9*G$10)))</f>
        <v>0.000260708457178496</v>
      </c>
      <c r="H594" s="3" t="n">
        <f aca="false">H$8*H$10*(1-EXP(-2*$C594/SQRT(PI()*H$9*H$10)))</f>
        <v>5.21465194057157E-005</v>
      </c>
    </row>
    <row r="595" customFormat="false" ht="15.75" hidden="false" customHeight="false" outlineLevel="0" collapsed="false">
      <c r="C595" s="0" t="n">
        <v>58.3</v>
      </c>
      <c r="D595" s="3" t="n">
        <f aca="false">D$8*D$10*(1-EXP(-2*$C595/SQRT(PI()*D$9*D$10)))</f>
        <v>0.00052146519407465</v>
      </c>
      <c r="E595" s="3" t="n">
        <f aca="false">E$8*E$10*(1-EXP(-2*$C595/SQRT(PI()*E$9*E$10)))</f>
        <v>0.000521417678682846</v>
      </c>
      <c r="F595" s="3" t="n">
        <f aca="false">F$8*F$10*(1-EXP(-2*$C595/SQRT(PI()*F$9*F$10)))</f>
        <v>0.000520740357219871</v>
      </c>
      <c r="G595" s="3" t="n">
        <f aca="false">G$8*G$10*(1-EXP(-2*$C595/SQRT(PI()*G$9*G$10)))</f>
        <v>0.000260708839341423</v>
      </c>
      <c r="H595" s="3" t="n">
        <f aca="false">H$8*H$10*(1-EXP(-2*$C595/SQRT(PI()*H$9*H$10)))</f>
        <v>5.2146519407465E-005</v>
      </c>
    </row>
    <row r="596" customFormat="false" ht="15.75" hidden="false" customHeight="false" outlineLevel="0" collapsed="false">
      <c r="C596" s="0" t="n">
        <v>58.4</v>
      </c>
      <c r="D596" s="3" t="n">
        <f aca="false">D$8*D$10*(1-EXP(-2*$C596/SQRT(PI()*D$9*D$10)))</f>
        <v>0.000521465194091531</v>
      </c>
      <c r="E596" s="3" t="n">
        <f aca="false">E$8*E$10*(1-EXP(-2*$C596/SQRT(PI()*E$9*E$10)))</f>
        <v>0.000521418430908625</v>
      </c>
      <c r="F596" s="3" t="n">
        <f aca="false">F$8*F$10*(1-EXP(-2*$C596/SQRT(PI()*F$9*F$10)))</f>
        <v>0.000520748490161865</v>
      </c>
      <c r="G596" s="3" t="n">
        <f aca="false">G$8*G$10*(1-EXP(-2*$C596/SQRT(PI()*G$9*G$10)))</f>
        <v>0.000260709215454312</v>
      </c>
      <c r="H596" s="3" t="n">
        <f aca="false">H$8*H$10*(1-EXP(-2*$C596/SQRT(PI()*H$9*H$10)))</f>
        <v>5.21465194091531E-005</v>
      </c>
    </row>
    <row r="597" customFormat="false" ht="15.75" hidden="false" customHeight="false" outlineLevel="0" collapsed="false">
      <c r="C597" s="0" t="n">
        <v>58.5</v>
      </c>
      <c r="D597" s="3" t="n">
        <f aca="false">D$8*D$10*(1-EXP(-2*$C597/SQRT(PI()*D$9*D$10)))</f>
        <v>0.000521465194107819</v>
      </c>
      <c r="E597" s="3" t="n">
        <f aca="false">E$8*E$10*(1-EXP(-2*$C597/SQRT(PI()*E$9*E$10)))</f>
        <v>0.000521419171225886</v>
      </c>
      <c r="F597" s="3" t="n">
        <f aca="false">F$8*F$10*(1-EXP(-2*$C597/SQRT(PI()*F$9*F$10)))</f>
        <v>0.000520756531849253</v>
      </c>
      <c r="G597" s="3" t="n">
        <f aca="false">G$8*G$10*(1-EXP(-2*$C597/SQRT(PI()*G$9*G$10)))</f>
        <v>0.000260709585612943</v>
      </c>
      <c r="H597" s="3" t="n">
        <f aca="false">H$8*H$10*(1-EXP(-2*$C597/SQRT(PI()*H$9*H$10)))</f>
        <v>5.21465194107819E-005</v>
      </c>
    </row>
    <row r="598" customFormat="false" ht="15.75" hidden="false" customHeight="false" outlineLevel="0" collapsed="false">
      <c r="C598" s="0" t="n">
        <v>58.6</v>
      </c>
      <c r="D598" s="3" t="n">
        <f aca="false">D$8*D$10*(1-EXP(-2*$C598/SQRT(PI()*D$9*D$10)))</f>
        <v>0.000521465194123536</v>
      </c>
      <c r="E598" s="3" t="n">
        <f aca="false">E$8*E$10*(1-EXP(-2*$C598/SQRT(PI()*E$9*E$10)))</f>
        <v>0.000521419899823154</v>
      </c>
      <c r="F598" s="3" t="n">
        <f aca="false">F$8*F$10*(1-EXP(-2*$C598/SQRT(PI()*F$9*F$10)))</f>
        <v>0.000520764483305945</v>
      </c>
      <c r="G598" s="3" t="n">
        <f aca="false">G$8*G$10*(1-EXP(-2*$C598/SQRT(PI()*G$9*G$10)))</f>
        <v>0.000260709949911577</v>
      </c>
      <c r="H598" s="3" t="n">
        <f aca="false">H$8*H$10*(1-EXP(-2*$C598/SQRT(PI()*H$9*H$10)))</f>
        <v>5.21465194123536E-005</v>
      </c>
    </row>
    <row r="599" customFormat="false" ht="15.75" hidden="false" customHeight="false" outlineLevel="0" collapsed="false">
      <c r="C599" s="0" t="n">
        <v>58.7</v>
      </c>
      <c r="D599" s="3" t="n">
        <f aca="false">D$8*D$10*(1-EXP(-2*$C599/SQRT(PI()*D$9*D$10)))</f>
        <v>0.000521465194138703</v>
      </c>
      <c r="E599" s="3" t="n">
        <f aca="false">E$8*E$10*(1-EXP(-2*$C599/SQRT(PI()*E$9*E$10)))</f>
        <v>0.000521420616885967</v>
      </c>
      <c r="F599" s="3" t="n">
        <f aca="false">F$8*F$10*(1-EXP(-2*$C599/SQRT(PI()*F$9*F$10)))</f>
        <v>0.000520772345544364</v>
      </c>
      <c r="G599" s="3" t="n">
        <f aca="false">G$8*G$10*(1-EXP(-2*$C599/SQRT(PI()*G$9*G$10)))</f>
        <v>0.000260710308442984</v>
      </c>
      <c r="H599" s="3" t="n">
        <f aca="false">H$8*H$10*(1-EXP(-2*$C599/SQRT(PI()*H$9*H$10)))</f>
        <v>5.21465194138703E-005</v>
      </c>
    </row>
    <row r="600" customFormat="false" ht="15.75" hidden="false" customHeight="false" outlineLevel="0" collapsed="false">
      <c r="C600" s="0" t="n">
        <v>58.8</v>
      </c>
      <c r="D600" s="3" t="n">
        <f aca="false">D$8*D$10*(1-EXP(-2*$C600/SQRT(PI()*D$9*D$10)))</f>
        <v>0.000521465194153338</v>
      </c>
      <c r="E600" s="3" t="n">
        <f aca="false">E$8*E$10*(1-EXP(-2*$C600/SQRT(PI()*E$9*E$10)))</f>
        <v>0.00052142132259693</v>
      </c>
      <c r="F600" s="3" t="n">
        <f aca="false">F$8*F$10*(1-EXP(-2*$C600/SQRT(PI()*F$9*F$10)))</f>
        <v>0.00052078011956557</v>
      </c>
      <c r="G600" s="3" t="n">
        <f aca="false">G$8*G$10*(1-EXP(-2*$C600/SQRT(PI()*G$9*G$10)))</f>
        <v>0.000260710661298465</v>
      </c>
      <c r="H600" s="3" t="n">
        <f aca="false">H$8*H$10*(1-EXP(-2*$C600/SQRT(PI()*H$9*H$10)))</f>
        <v>5.21465194153338E-005</v>
      </c>
    </row>
    <row r="601" customFormat="false" ht="15.75" hidden="false" customHeight="false" outlineLevel="0" collapsed="false">
      <c r="C601" s="0" t="n">
        <v>58.9</v>
      </c>
      <c r="D601" s="3" t="n">
        <f aca="false">D$8*D$10*(1-EXP(-2*$C601/SQRT(PI()*D$9*D$10)))</f>
        <v>0.00052146519416746</v>
      </c>
      <c r="E601" s="3" t="n">
        <f aca="false">E$8*E$10*(1-EXP(-2*$C601/SQRT(PI()*E$9*E$10)))</f>
        <v>0.000521422017135753</v>
      </c>
      <c r="F601" s="3" t="n">
        <f aca="false">F$8*F$10*(1-EXP(-2*$C601/SQRT(PI()*F$9*F$10)))</f>
        <v>0.000520787806359394</v>
      </c>
      <c r="G601" s="3" t="n">
        <f aca="false">G$8*G$10*(1-EXP(-2*$C601/SQRT(PI()*G$9*G$10)))</f>
        <v>0.000260711008567876</v>
      </c>
      <c r="H601" s="3" t="n">
        <f aca="false">H$8*H$10*(1-EXP(-2*$C601/SQRT(PI()*H$9*H$10)))</f>
        <v>5.2146519416746E-005</v>
      </c>
    </row>
    <row r="602" customFormat="false" ht="15.75" hidden="false" customHeight="false" outlineLevel="0" collapsed="false">
      <c r="C602" s="0" t="n">
        <v>59</v>
      </c>
      <c r="D602" s="3" t="n">
        <f aca="false">D$8*D$10*(1-EXP(-2*$C602/SQRT(PI()*D$9*D$10)))</f>
        <v>0.000521465194181087</v>
      </c>
      <c r="E602" s="3" t="n">
        <f aca="false">E$8*E$10*(1-EXP(-2*$C602/SQRT(PI()*E$9*E$10)))</f>
        <v>0.000521422700679302</v>
      </c>
      <c r="F602" s="3" t="n">
        <f aca="false">F$8*F$10*(1-EXP(-2*$C602/SQRT(PI()*F$9*F$10)))</f>
        <v>0.000520795406904559</v>
      </c>
      <c r="G602" s="3" t="n">
        <f aca="false">G$8*G$10*(1-EXP(-2*$C602/SQRT(PI()*G$9*G$10)))</f>
        <v>0.000260711350339651</v>
      </c>
      <c r="H602" s="3" t="n">
        <f aca="false">H$8*H$10*(1-EXP(-2*$C602/SQRT(PI()*H$9*H$10)))</f>
        <v>5.21465194181087E-005</v>
      </c>
    </row>
    <row r="603" customFormat="false" ht="15.75" hidden="false" customHeight="false" outlineLevel="0" collapsed="false">
      <c r="C603" s="0" t="n">
        <v>59.1</v>
      </c>
      <c r="D603" s="3" t="n">
        <f aca="false">D$8*D$10*(1-EXP(-2*$C603/SQRT(PI()*D$9*D$10)))</f>
        <v>0.000521465194194236</v>
      </c>
      <c r="E603" s="3" t="n">
        <f aca="false">E$8*E$10*(1-EXP(-2*$C603/SQRT(PI()*E$9*E$10)))</f>
        <v>0.000521423373401645</v>
      </c>
      <c r="F603" s="3" t="n">
        <f aca="false">F$8*F$10*(1-EXP(-2*$C603/SQRT(PI()*F$9*F$10)))</f>
        <v>0.000520802922168807</v>
      </c>
      <c r="G603" s="3" t="n">
        <f aca="false">G$8*G$10*(1-EXP(-2*$C603/SQRT(PI()*G$9*G$10)))</f>
        <v>0.000260711686700822</v>
      </c>
      <c r="H603" s="3" t="n">
        <f aca="false">H$8*H$10*(1-EXP(-2*$C603/SQRT(PI()*H$9*H$10)))</f>
        <v>5.21465194194236E-005</v>
      </c>
    </row>
    <row r="604" customFormat="false" ht="15.75" hidden="false" customHeight="false" outlineLevel="0" collapsed="false">
      <c r="C604" s="0" t="n">
        <v>59.2</v>
      </c>
      <c r="D604" s="3" t="n">
        <f aca="false">D$8*D$10*(1-EXP(-2*$C604/SQRT(PI()*D$9*D$10)))</f>
        <v>0.000521465194206924</v>
      </c>
      <c r="E604" s="3" t="n">
        <f aca="false">E$8*E$10*(1-EXP(-2*$C604/SQRT(PI()*E$9*E$10)))</f>
        <v>0.000521424035474092</v>
      </c>
      <c r="F604" s="3" t="n">
        <f aca="false">F$8*F$10*(1-EXP(-2*$C604/SQRT(PI()*F$9*F$10)))</f>
        <v>0.00052081035310902</v>
      </c>
      <c r="G604" s="3" t="n">
        <f aca="false">G$8*G$10*(1-EXP(-2*$C604/SQRT(PI()*G$9*G$10)))</f>
        <v>0.000260712017737046</v>
      </c>
      <c r="H604" s="3" t="n">
        <f aca="false">H$8*H$10*(1-EXP(-2*$C604/SQRT(PI()*H$9*H$10)))</f>
        <v>5.21465194206924E-005</v>
      </c>
    </row>
    <row r="605" customFormat="false" ht="15.75" hidden="false" customHeight="false" outlineLevel="0" collapsed="false">
      <c r="C605" s="0" t="n">
        <v>59.3</v>
      </c>
      <c r="D605" s="3" t="n">
        <f aca="false">D$8*D$10*(1-EXP(-2*$C605/SQRT(PI()*D$9*D$10)))</f>
        <v>0.000521465194219168</v>
      </c>
      <c r="E605" s="3" t="n">
        <f aca="false">E$8*E$10*(1-EXP(-2*$C605/SQRT(PI()*E$9*E$10)))</f>
        <v>0.000521424687065243</v>
      </c>
      <c r="F605" s="3" t="n">
        <f aca="false">F$8*F$10*(1-EXP(-2*$C605/SQRT(PI()*F$9*F$10)))</f>
        <v>0.000520817700671347</v>
      </c>
      <c r="G605" s="3" t="n">
        <f aca="false">G$8*G$10*(1-EXP(-2*$C605/SQRT(PI()*G$9*G$10)))</f>
        <v>0.000260712343532622</v>
      </c>
      <c r="H605" s="3" t="n">
        <f aca="false">H$8*H$10*(1-EXP(-2*$C605/SQRT(PI()*H$9*H$10)))</f>
        <v>5.21465194219167E-005</v>
      </c>
    </row>
    <row r="606" customFormat="false" ht="15.75" hidden="false" customHeight="false" outlineLevel="0" collapsed="false">
      <c r="C606" s="0" t="n">
        <v>59.4</v>
      </c>
      <c r="D606" s="3" t="n">
        <f aca="false">D$8*D$10*(1-EXP(-2*$C606/SQRT(PI()*D$9*D$10)))</f>
        <v>0.000521465194230982</v>
      </c>
      <c r="E606" s="3" t="n">
        <f aca="false">E$8*E$10*(1-EXP(-2*$C606/SQRT(PI()*E$9*E$10)))</f>
        <v>0.000521425328341027</v>
      </c>
      <c r="F606" s="3" t="n">
        <f aca="false">F$8*F$10*(1-EXP(-2*$C606/SQRT(PI()*F$9*F$10)))</f>
        <v>0.000520824965791317</v>
      </c>
      <c r="G606" s="3" t="n">
        <f aca="false">G$8*G$10*(1-EXP(-2*$C606/SQRT(PI()*G$9*G$10)))</f>
        <v>0.000260712664170514</v>
      </c>
      <c r="H606" s="3" t="n">
        <f aca="false">H$8*H$10*(1-EXP(-2*$C606/SQRT(PI()*H$9*H$10)))</f>
        <v>5.21465194230982E-005</v>
      </c>
    </row>
    <row r="607" customFormat="false" ht="15.75" hidden="false" customHeight="false" outlineLevel="0" collapsed="false">
      <c r="C607" s="0" t="n">
        <v>59.5</v>
      </c>
      <c r="D607" s="3" t="n">
        <f aca="false">D$8*D$10*(1-EXP(-2*$C607/SQRT(PI()*D$9*D$10)))</f>
        <v>0.000521465194242382</v>
      </c>
      <c r="E607" s="3" t="n">
        <f aca="false">E$8*E$10*(1-EXP(-2*$C607/SQRT(PI()*E$9*E$10)))</f>
        <v>0.000521425959464747</v>
      </c>
      <c r="F607" s="3" t="n">
        <f aca="false">F$8*F$10*(1-EXP(-2*$C607/SQRT(PI()*F$9*F$10)))</f>
        <v>0.000520832149393963</v>
      </c>
      <c r="G607" s="3" t="n">
        <f aca="false">G$8*G$10*(1-EXP(-2*$C607/SQRT(PI()*G$9*G$10)))</f>
        <v>0.000260712979732374</v>
      </c>
      <c r="H607" s="3" t="n">
        <f aca="false">H$8*H$10*(1-EXP(-2*$C607/SQRT(PI()*H$9*H$10)))</f>
        <v>5.21465194242382E-005</v>
      </c>
    </row>
    <row r="608" customFormat="false" ht="15.75" hidden="false" customHeight="false" outlineLevel="0" collapsed="false">
      <c r="C608" s="0" t="n">
        <v>59.6</v>
      </c>
      <c r="D608" s="3" t="n">
        <f aca="false">D$8*D$10*(1-EXP(-2*$C608/SQRT(PI()*D$9*D$10)))</f>
        <v>0.000521465194253383</v>
      </c>
      <c r="E608" s="3" t="n">
        <f aca="false">E$8*E$10*(1-EXP(-2*$C608/SQRT(PI()*E$9*E$10)))</f>
        <v>0.000521426580597122</v>
      </c>
      <c r="F608" s="3" t="n">
        <f aca="false">F$8*F$10*(1-EXP(-2*$C608/SQRT(PI()*F$9*F$10)))</f>
        <v>0.000520839252393941</v>
      </c>
      <c r="G608" s="3" t="n">
        <f aca="false">G$8*G$10*(1-EXP(-2*$C608/SQRT(PI()*G$9*G$10)))</f>
        <v>0.000260713290298561</v>
      </c>
      <c r="H608" s="3" t="n">
        <f aca="false">H$8*H$10*(1-EXP(-2*$C608/SQRT(PI()*H$9*H$10)))</f>
        <v>5.21465194253383E-005</v>
      </c>
    </row>
    <row r="609" customFormat="false" ht="15.75" hidden="false" customHeight="false" outlineLevel="0" collapsed="false">
      <c r="C609" s="0" t="n">
        <v>59.7</v>
      </c>
      <c r="D609" s="3" t="n">
        <f aca="false">D$8*D$10*(1-EXP(-2*$C609/SQRT(PI()*D$9*D$10)))</f>
        <v>0.000521465194263998</v>
      </c>
      <c r="E609" s="3" t="n">
        <f aca="false">E$8*E$10*(1-EXP(-2*$C609/SQRT(PI()*E$9*E$10)))</f>
        <v>0.000521427191896323</v>
      </c>
      <c r="F609" s="3" t="n">
        <f aca="false">F$8*F$10*(1-EXP(-2*$C609/SQRT(PI()*F$9*F$10)))</f>
        <v>0.000520846275695642</v>
      </c>
      <c r="G609" s="3" t="n">
        <f aca="false">G$8*G$10*(1-EXP(-2*$C609/SQRT(PI()*G$9*G$10)))</f>
        <v>0.000260713595948162</v>
      </c>
      <c r="H609" s="3" t="n">
        <f aca="false">H$8*H$10*(1-EXP(-2*$C609/SQRT(PI()*H$9*H$10)))</f>
        <v>5.21465194263998E-005</v>
      </c>
    </row>
    <row r="610" customFormat="false" ht="15.75" hidden="false" customHeight="false" outlineLevel="0" collapsed="false">
      <c r="C610" s="0" t="n">
        <v>59.8</v>
      </c>
      <c r="D610" s="3" t="n">
        <f aca="false">D$8*D$10*(1-EXP(-2*$C610/SQRT(PI()*D$9*D$10)))</f>
        <v>0.00052146519427424</v>
      </c>
      <c r="E610" s="3" t="n">
        <f aca="false">E$8*E$10*(1-EXP(-2*$C610/SQRT(PI()*E$9*E$10)))</f>
        <v>0.000521427793518022</v>
      </c>
      <c r="F610" s="3" t="n">
        <f aca="false">F$8*F$10*(1-EXP(-2*$C610/SQRT(PI()*F$9*F$10)))</f>
        <v>0.00052085322019331</v>
      </c>
      <c r="G610" s="3" t="n">
        <f aca="false">G$8*G$10*(1-EXP(-2*$C610/SQRT(PI()*G$9*G$10)))</f>
        <v>0.000260713896759011</v>
      </c>
      <c r="H610" s="3" t="n">
        <f aca="false">H$8*H$10*(1-EXP(-2*$C610/SQRT(PI()*H$9*H$10)))</f>
        <v>5.2146519427424E-005</v>
      </c>
    </row>
    <row r="611" customFormat="false" ht="15.75" hidden="false" customHeight="false" outlineLevel="0" collapsed="false">
      <c r="C611" s="0" t="n">
        <v>59.9</v>
      </c>
      <c r="D611" s="3" t="n">
        <f aca="false">D$8*D$10*(1-EXP(-2*$C611/SQRT(PI()*D$9*D$10)))</f>
        <v>0.000521465194284124</v>
      </c>
      <c r="E611" s="3" t="n">
        <f aca="false">E$8*E$10*(1-EXP(-2*$C611/SQRT(PI()*E$9*E$10)))</f>
        <v>0.000521428385615422</v>
      </c>
      <c r="F611" s="3" t="n">
        <f aca="false">F$8*F$10*(1-EXP(-2*$C611/SQRT(PI()*F$9*F$10)))</f>
        <v>0.000520860086771156</v>
      </c>
      <c r="G611" s="3" t="n">
        <f aca="false">G$8*G$10*(1-EXP(-2*$C611/SQRT(PI()*G$9*G$10)))</f>
        <v>0.000260714192807711</v>
      </c>
      <c r="H611" s="3" t="n">
        <f aca="false">H$8*H$10*(1-EXP(-2*$C611/SQRT(PI()*H$9*H$10)))</f>
        <v>5.21465194284124E-005</v>
      </c>
    </row>
    <row r="612" customFormat="false" ht="15.75" hidden="false" customHeight="false" outlineLevel="0" collapsed="false">
      <c r="C612" s="0" t="n">
        <v>60</v>
      </c>
      <c r="D612" s="3" t="n">
        <f aca="false">D$8*D$10*(1-EXP(-2*$C612/SQRT(PI()*D$9*D$10)))</f>
        <v>0.000521465194293662</v>
      </c>
      <c r="E612" s="3" t="n">
        <f aca="false">E$8*E$10*(1-EXP(-2*$C612/SQRT(PI()*E$9*E$10)))</f>
        <v>0.000521428968339303</v>
      </c>
      <c r="F612" s="3" t="n">
        <f aca="false">F$8*F$10*(1-EXP(-2*$C612/SQRT(PI()*F$9*F$10)))</f>
        <v>0.000520866876303468</v>
      </c>
      <c r="G612" s="3" t="n">
        <f aca="false">G$8*G$10*(1-EXP(-2*$C612/SQRT(PI()*G$9*G$10)))</f>
        <v>0.000260714484169651</v>
      </c>
      <c r="H612" s="3" t="n">
        <f aca="false">H$8*H$10*(1-EXP(-2*$C612/SQRT(PI()*H$9*H$10)))</f>
        <v>5.21465194293662E-005</v>
      </c>
    </row>
    <row r="613" customFormat="false" ht="15.75" hidden="false" customHeight="false" outlineLevel="0" collapsed="false">
      <c r="C613" s="0" t="n">
        <v>60.1</v>
      </c>
      <c r="D613" s="3" t="n">
        <f aca="false">D$8*D$10*(1-EXP(-2*$C613/SQRT(PI()*D$9*D$10)))</f>
        <v>0.000521465194302865</v>
      </c>
      <c r="E613" s="3" t="n">
        <f aca="false">E$8*E$10*(1-EXP(-2*$C613/SQRT(PI()*E$9*E$10)))</f>
        <v>0.000521429541838058</v>
      </c>
      <c r="F613" s="3" t="n">
        <f aca="false">F$8*F$10*(1-EXP(-2*$C613/SQRT(PI()*F$9*F$10)))</f>
        <v>0.000520873589654725</v>
      </c>
      <c r="G613" s="3" t="n">
        <f aca="false">G$8*G$10*(1-EXP(-2*$C613/SQRT(PI()*G$9*G$10)))</f>
        <v>0.000260714770919029</v>
      </c>
      <c r="H613" s="3" t="n">
        <f aca="false">H$8*H$10*(1-EXP(-2*$C613/SQRT(PI()*H$9*H$10)))</f>
        <v>5.21465194302865E-005</v>
      </c>
    </row>
    <row r="614" customFormat="false" ht="15.75" hidden="false" customHeight="false" outlineLevel="0" collapsed="false">
      <c r="C614" s="0" t="n">
        <v>60.2</v>
      </c>
      <c r="D614" s="3" t="n">
        <f aca="false">D$8*D$10*(1-EXP(-2*$C614/SQRT(PI()*D$9*D$10)))</f>
        <v>0.000521465194311745</v>
      </c>
      <c r="E614" s="3" t="n">
        <f aca="false">E$8*E$10*(1-EXP(-2*$C614/SQRT(PI()*E$9*E$10)))</f>
        <v>0.000521430106257731</v>
      </c>
      <c r="F614" s="3" t="n">
        <f aca="false">F$8*F$10*(1-EXP(-2*$C614/SQRT(PI()*F$9*F$10)))</f>
        <v>0.000520880227679708</v>
      </c>
      <c r="G614" s="3" t="n">
        <f aca="false">G$8*G$10*(1-EXP(-2*$C614/SQRT(PI()*G$9*G$10)))</f>
        <v>0.000260715053128865</v>
      </c>
      <c r="H614" s="3" t="n">
        <f aca="false">H$8*H$10*(1-EXP(-2*$C614/SQRT(PI()*H$9*H$10)))</f>
        <v>5.21465194311745E-005</v>
      </c>
    </row>
    <row r="615" customFormat="false" ht="15.75" hidden="false" customHeight="false" outlineLevel="0" collapsed="false">
      <c r="C615" s="0" t="n">
        <v>60.3</v>
      </c>
      <c r="D615" s="3" t="n">
        <f aca="false">D$8*D$10*(1-EXP(-2*$C615/SQRT(PI()*D$9*D$10)))</f>
        <v>0.000521465194320314</v>
      </c>
      <c r="E615" s="3" t="n">
        <f aca="false">E$8*E$10*(1-EXP(-2*$C615/SQRT(PI()*E$9*E$10)))</f>
        <v>0.000521430661742052</v>
      </c>
      <c r="F615" s="3" t="n">
        <f aca="false">F$8*F$10*(1-EXP(-2*$C615/SQRT(PI()*F$9*F$10)))</f>
        <v>0.000520886791223605</v>
      </c>
      <c r="G615" s="3" t="n">
        <f aca="false">G$8*G$10*(1-EXP(-2*$C615/SQRT(PI()*G$9*G$10)))</f>
        <v>0.000260715330871026</v>
      </c>
      <c r="H615" s="3" t="n">
        <f aca="false">H$8*H$10*(1-EXP(-2*$C615/SQRT(PI()*H$9*H$10)))</f>
        <v>5.21465194320314E-005</v>
      </c>
    </row>
    <row r="616" customFormat="false" ht="15.75" hidden="false" customHeight="false" outlineLevel="0" collapsed="false">
      <c r="C616" s="0" t="n">
        <v>60.4</v>
      </c>
      <c r="D616" s="3" t="n">
        <f aca="false">D$8*D$10*(1-EXP(-2*$C616/SQRT(PI()*D$9*D$10)))</f>
        <v>0.000521465194328583</v>
      </c>
      <c r="E616" s="3" t="n">
        <f aca="false">E$8*E$10*(1-EXP(-2*$C616/SQRT(PI()*E$9*E$10)))</f>
        <v>0.000521431208432477</v>
      </c>
      <c r="F616" s="3" t="n">
        <f aca="false">F$8*F$10*(1-EXP(-2*$C616/SQRT(PI()*F$9*F$10)))</f>
        <v>0.00052089328112212</v>
      </c>
      <c r="G616" s="3" t="n">
        <f aca="false">G$8*G$10*(1-EXP(-2*$C616/SQRT(PI()*G$9*G$10)))</f>
        <v>0.000260715604216239</v>
      </c>
      <c r="H616" s="3" t="n">
        <f aca="false">H$8*H$10*(1-EXP(-2*$C616/SQRT(PI()*H$9*H$10)))</f>
        <v>5.21465194328583E-005</v>
      </c>
    </row>
    <row r="617" customFormat="false" ht="15.75" hidden="false" customHeight="false" outlineLevel="0" collapsed="false">
      <c r="C617" s="0" t="n">
        <v>60.5</v>
      </c>
      <c r="D617" s="3" t="n">
        <f aca="false">D$8*D$10*(1-EXP(-2*$C617/SQRT(PI()*D$9*D$10)))</f>
        <v>0.000521465194336562</v>
      </c>
      <c r="E617" s="3" t="n">
        <f aca="false">E$8*E$10*(1-EXP(-2*$C617/SQRT(PI()*E$9*E$10)))</f>
        <v>0.000521431746468224</v>
      </c>
      <c r="F617" s="3" t="n">
        <f aca="false">F$8*F$10*(1-EXP(-2*$C617/SQRT(PI()*F$9*F$10)))</f>
        <v>0.000520899698201583</v>
      </c>
      <c r="G617" s="3" t="n">
        <f aca="false">G$8*G$10*(1-EXP(-2*$C617/SQRT(PI()*G$9*G$10)))</f>
        <v>0.000260715873234112</v>
      </c>
      <c r="H617" s="3" t="n">
        <f aca="false">H$8*H$10*(1-EXP(-2*$C617/SQRT(PI()*H$9*H$10)))</f>
        <v>5.21465194336562E-005</v>
      </c>
    </row>
    <row r="618" customFormat="false" ht="15.75" hidden="false" customHeight="false" outlineLevel="0" collapsed="false">
      <c r="C618" s="0" t="n">
        <v>60.6</v>
      </c>
      <c r="D618" s="3" t="n">
        <f aca="false">D$8*D$10*(1-EXP(-2*$C618/SQRT(PI()*D$9*D$10)))</f>
        <v>0.000521465194344261</v>
      </c>
      <c r="E618" s="3" t="n">
        <f aca="false">E$8*E$10*(1-EXP(-2*$C618/SQRT(PI()*E$9*E$10)))</f>
        <v>0.000521432275986304</v>
      </c>
      <c r="F618" s="3" t="n">
        <f aca="false">F$8*F$10*(1-EXP(-2*$C618/SQRT(PI()*F$9*F$10)))</f>
        <v>0.00052090604327905</v>
      </c>
      <c r="G618" s="3" t="n">
        <f aca="false">G$8*G$10*(1-EXP(-2*$C618/SQRT(PI()*G$9*G$10)))</f>
        <v>0.000260716137993152</v>
      </c>
      <c r="H618" s="3" t="n">
        <f aca="false">H$8*H$10*(1-EXP(-2*$C618/SQRT(PI()*H$9*H$10)))</f>
        <v>5.21465194344261E-005</v>
      </c>
    </row>
    <row r="619" customFormat="false" ht="15.75" hidden="false" customHeight="false" outlineLevel="0" collapsed="false">
      <c r="C619" s="0" t="n">
        <v>60.7</v>
      </c>
      <c r="D619" s="3" t="n">
        <f aca="false">D$8*D$10*(1-EXP(-2*$C619/SQRT(PI()*D$9*D$10)))</f>
        <v>0.000521465194351691</v>
      </c>
      <c r="E619" s="3" t="n">
        <f aca="false">E$8*E$10*(1-EXP(-2*$C619/SQRT(PI()*E$9*E$10)))</f>
        <v>0.000521432797121561</v>
      </c>
      <c r="F619" s="3" t="n">
        <f aca="false">F$8*F$10*(1-EXP(-2*$C619/SQRT(PI()*F$9*F$10)))</f>
        <v>0.00052091231716241</v>
      </c>
      <c r="G619" s="3" t="n">
        <f aca="false">G$8*G$10*(1-EXP(-2*$C619/SQRT(PI()*G$9*G$10)))</f>
        <v>0.000260716398560781</v>
      </c>
      <c r="H619" s="3" t="n">
        <f aca="false">H$8*H$10*(1-EXP(-2*$C619/SQRT(PI()*H$9*H$10)))</f>
        <v>5.21465194351691E-005</v>
      </c>
    </row>
    <row r="620" customFormat="false" ht="15.75" hidden="false" customHeight="false" outlineLevel="0" collapsed="false">
      <c r="C620" s="0" t="n">
        <v>60.8</v>
      </c>
      <c r="D620" s="3" t="n">
        <f aca="false">D$8*D$10*(1-EXP(-2*$C620/SQRT(PI()*D$9*D$10)))</f>
        <v>0.00052146519435886</v>
      </c>
      <c r="E620" s="3" t="n">
        <f aca="false">E$8*E$10*(1-EXP(-2*$C620/SQRT(PI()*E$9*E$10)))</f>
        <v>0.000521433310006704</v>
      </c>
      <c r="F620" s="3" t="n">
        <f aca="false">F$8*F$10*(1-EXP(-2*$C620/SQRT(PI()*F$9*F$10)))</f>
        <v>0.000520918520650487</v>
      </c>
      <c r="G620" s="3" t="n">
        <f aca="false">G$8*G$10*(1-EXP(-2*$C620/SQRT(PI()*G$9*G$10)))</f>
        <v>0.000260716655003352</v>
      </c>
      <c r="H620" s="3" t="n">
        <f aca="false">H$8*H$10*(1-EXP(-2*$C620/SQRT(PI()*H$9*H$10)))</f>
        <v>5.2146519435886E-005</v>
      </c>
    </row>
    <row r="621" customFormat="false" ht="15.75" hidden="false" customHeight="false" outlineLevel="0" collapsed="false">
      <c r="C621" s="0" t="n">
        <v>60.9</v>
      </c>
      <c r="D621" s="3" t="n">
        <f aca="false">D$8*D$10*(1-EXP(-2*$C621/SQRT(PI()*D$9*D$10)))</f>
        <v>0.000521465194365777</v>
      </c>
      <c r="E621" s="3" t="n">
        <f aca="false">E$8*E$10*(1-EXP(-2*$C621/SQRT(PI()*E$9*E$10)))</f>
        <v>0.000521433814772341</v>
      </c>
      <c r="F621" s="3" t="n">
        <f aca="false">F$8*F$10*(1-EXP(-2*$C621/SQRT(PI()*F$9*F$10)))</f>
        <v>0.000520924654533141</v>
      </c>
      <c r="G621" s="3" t="n">
        <f aca="false">G$8*G$10*(1-EXP(-2*$C621/SQRT(PI()*G$9*G$10)))</f>
        <v>0.000260716907386171</v>
      </c>
      <c r="H621" s="3" t="n">
        <f aca="false">H$8*H$10*(1-EXP(-2*$C621/SQRT(PI()*H$9*H$10)))</f>
        <v>5.21465194365777E-005</v>
      </c>
    </row>
    <row r="622" customFormat="false" ht="15.75" hidden="false" customHeight="false" outlineLevel="0" collapsed="false">
      <c r="C622" s="0" t="n">
        <v>61</v>
      </c>
      <c r="D622" s="3" t="n">
        <f aca="false">D$8*D$10*(1-EXP(-2*$C622/SQRT(PI()*D$9*D$10)))</f>
        <v>0.000521465194372452</v>
      </c>
      <c r="E622" s="3" t="n">
        <f aca="false">E$8*E$10*(1-EXP(-2*$C622/SQRT(PI()*E$9*E$10)))</f>
        <v>0.000521434311547012</v>
      </c>
      <c r="F622" s="3" t="n">
        <f aca="false">F$8*F$10*(1-EXP(-2*$C622/SQRT(PI()*F$9*F$10)))</f>
        <v>0.000520930719591373</v>
      </c>
      <c r="G622" s="3" t="n">
        <f aca="false">G$8*G$10*(1-EXP(-2*$C622/SQRT(PI()*G$9*G$10)))</f>
        <v>0.000260717155773506</v>
      </c>
      <c r="H622" s="3" t="n">
        <f aca="false">H$8*H$10*(1-EXP(-2*$C622/SQRT(PI()*H$9*H$10)))</f>
        <v>5.21465194372452E-005</v>
      </c>
    </row>
    <row r="623" customFormat="false" ht="15.75" hidden="false" customHeight="false" outlineLevel="0" collapsed="false">
      <c r="C623" s="0" t="n">
        <v>61.1</v>
      </c>
      <c r="D623" s="3" t="n">
        <f aca="false">D$8*D$10*(1-EXP(-2*$C623/SQRT(PI()*D$9*D$10)))</f>
        <v>0.000521465194378894</v>
      </c>
      <c r="E623" s="3" t="n">
        <f aca="false">E$8*E$10*(1-EXP(-2*$C623/SQRT(PI()*E$9*E$10)))</f>
        <v>0.000521434800457223</v>
      </c>
      <c r="F623" s="3" t="n">
        <f aca="false">F$8*F$10*(1-EXP(-2*$C623/SQRT(PI()*F$9*F$10)))</f>
        <v>0.000520936716597416</v>
      </c>
      <c r="G623" s="3" t="n">
        <f aca="false">G$8*G$10*(1-EXP(-2*$C623/SQRT(PI()*G$9*G$10)))</f>
        <v>0.000260717400228611</v>
      </c>
      <c r="H623" s="3" t="n">
        <f aca="false">H$8*H$10*(1-EXP(-2*$C623/SQRT(PI()*H$9*H$10)))</f>
        <v>5.21465194378894E-005</v>
      </c>
    </row>
    <row r="624" customFormat="false" ht="15.75" hidden="false" customHeight="false" outlineLevel="0" collapsed="false">
      <c r="C624" s="0" t="n">
        <v>61.2</v>
      </c>
      <c r="D624" s="3" t="n">
        <f aca="false">D$8*D$10*(1-EXP(-2*$C624/SQRT(PI()*D$9*D$10)))</f>
        <v>0.000521465194385109</v>
      </c>
      <c r="E624" s="3" t="n">
        <f aca="false">E$8*E$10*(1-EXP(-2*$C624/SQRT(PI()*E$9*E$10)))</f>
        <v>0.000521435281627475</v>
      </c>
      <c r="F624" s="3" t="n">
        <f aca="false">F$8*F$10*(1-EXP(-2*$C624/SQRT(PI()*F$9*F$10)))</f>
        <v>0.000520942646314841</v>
      </c>
      <c r="G624" s="3" t="n">
        <f aca="false">G$8*G$10*(1-EXP(-2*$C624/SQRT(PI()*G$9*G$10)))</f>
        <v>0.000260717640813738</v>
      </c>
      <c r="H624" s="3" t="n">
        <f aca="false">H$8*H$10*(1-EXP(-2*$C624/SQRT(PI()*H$9*H$10)))</f>
        <v>5.21465194385109E-005</v>
      </c>
    </row>
    <row r="625" customFormat="false" ht="15.75" hidden="false" customHeight="false" outlineLevel="0" collapsed="false">
      <c r="C625" s="0" t="n">
        <v>61.3</v>
      </c>
      <c r="D625" s="3" t="n">
        <f aca="false">D$8*D$10*(1-EXP(-2*$C625/SQRT(PI()*D$9*D$10)))</f>
        <v>0.000521465194391106</v>
      </c>
      <c r="E625" s="3" t="n">
        <f aca="false">E$8*E$10*(1-EXP(-2*$C625/SQRT(PI()*E$9*E$10)))</f>
        <v>0.000521435755180302</v>
      </c>
      <c r="F625" s="3" t="n">
        <f aca="false">F$8*F$10*(1-EXP(-2*$C625/SQRT(PI()*F$9*F$10)))</f>
        <v>0.000520948509498652</v>
      </c>
      <c r="G625" s="3" t="n">
        <f aca="false">G$8*G$10*(1-EXP(-2*$C625/SQRT(PI()*G$9*G$10)))</f>
        <v>0.000260717877590151</v>
      </c>
      <c r="H625" s="3" t="n">
        <f aca="false">H$8*H$10*(1-EXP(-2*$C625/SQRT(PI()*H$9*H$10)))</f>
        <v>5.21465194391107E-005</v>
      </c>
    </row>
    <row r="626" customFormat="false" ht="15.75" hidden="false" customHeight="false" outlineLevel="0" collapsed="false">
      <c r="C626" s="0" t="n">
        <v>61.4</v>
      </c>
      <c r="D626" s="3" t="n">
        <f aca="false">D$8*D$10*(1-EXP(-2*$C626/SQRT(PI()*D$9*D$10)))</f>
        <v>0.000521465194396894</v>
      </c>
      <c r="E626" s="3" t="n">
        <f aca="false">E$8*E$10*(1-EXP(-2*$C626/SQRT(PI()*E$9*E$10)))</f>
        <v>0.000521436221236293</v>
      </c>
      <c r="F626" s="3" t="n">
        <f aca="false">F$8*F$10*(1-EXP(-2*$C626/SQRT(PI()*F$9*F$10)))</f>
        <v>0.00052095430689538</v>
      </c>
      <c r="G626" s="3" t="n">
        <f aca="false">G$8*G$10*(1-EXP(-2*$C626/SQRT(PI()*G$9*G$10)))</f>
        <v>0.000260718110618147</v>
      </c>
      <c r="H626" s="3" t="n">
        <f aca="false">H$8*H$10*(1-EXP(-2*$C626/SQRT(PI()*H$9*H$10)))</f>
        <v>5.21465194396894E-005</v>
      </c>
    </row>
    <row r="627" customFormat="false" ht="15.75" hidden="false" customHeight="false" outlineLevel="0" collapsed="false">
      <c r="C627" s="0" t="n">
        <v>61.5</v>
      </c>
      <c r="D627" s="3" t="n">
        <f aca="false">D$8*D$10*(1-EXP(-2*$C627/SQRT(PI()*D$9*D$10)))</f>
        <v>0.000521465194402478</v>
      </c>
      <c r="E627" s="3" t="n">
        <f aca="false">E$8*E$10*(1-EXP(-2*$C627/SQRT(PI()*E$9*E$10)))</f>
        <v>0.000521436679914133</v>
      </c>
      <c r="F627" s="3" t="n">
        <f aca="false">F$8*F$10*(1-EXP(-2*$C627/SQRT(PI()*F$9*F$10)))</f>
        <v>0.000520960039243181</v>
      </c>
      <c r="G627" s="3" t="n">
        <f aca="false">G$8*G$10*(1-EXP(-2*$C627/SQRT(PI()*G$9*G$10)))</f>
        <v>0.000260718339957066</v>
      </c>
      <c r="H627" s="3" t="n">
        <f aca="false">H$8*H$10*(1-EXP(-2*$C627/SQRT(PI()*H$9*H$10)))</f>
        <v>5.21465194402478E-005</v>
      </c>
    </row>
    <row r="628" customFormat="false" ht="15.75" hidden="false" customHeight="false" outlineLevel="0" collapsed="false">
      <c r="C628" s="0" t="n">
        <v>61.6</v>
      </c>
      <c r="D628" s="3" t="n">
        <f aca="false">D$8*D$10*(1-EXP(-2*$C628/SQRT(PI()*D$9*D$10)))</f>
        <v>0.000521465194407867</v>
      </c>
      <c r="E628" s="3" t="n">
        <f aca="false">E$8*E$10*(1-EXP(-2*$C628/SQRT(PI()*E$9*E$10)))</f>
        <v>0.000521437131330624</v>
      </c>
      <c r="F628" s="3" t="n">
        <f aca="false">F$8*F$10*(1-EXP(-2*$C628/SQRT(PI()*F$9*F$10)))</f>
        <v>0.000520965707271928</v>
      </c>
      <c r="G628" s="3" t="n">
        <f aca="false">G$8*G$10*(1-EXP(-2*$C628/SQRT(PI()*G$9*G$10)))</f>
        <v>0.000260718565665312</v>
      </c>
      <c r="H628" s="3" t="n">
        <f aca="false">H$8*H$10*(1-EXP(-2*$C628/SQRT(PI()*H$9*H$10)))</f>
        <v>5.21465194407867E-005</v>
      </c>
    </row>
    <row r="629" customFormat="false" ht="15.75" hidden="false" customHeight="false" outlineLevel="0" collapsed="false">
      <c r="C629" s="0" t="n">
        <v>61.7</v>
      </c>
      <c r="D629" s="3" t="n">
        <f aca="false">D$8*D$10*(1-EXP(-2*$C629/SQRT(PI()*D$9*D$10)))</f>
        <v>0.000521465194413067</v>
      </c>
      <c r="E629" s="3" t="n">
        <f aca="false">E$8*E$10*(1-EXP(-2*$C629/SQRT(PI()*E$9*E$10)))</f>
        <v>0.000521437575600722</v>
      </c>
      <c r="F629" s="3" t="n">
        <f aca="false">F$8*F$10*(1-EXP(-2*$C629/SQRT(PI()*F$9*F$10)))</f>
        <v>0.000520971311703303</v>
      </c>
      <c r="G629" s="3" t="n">
        <f aca="false">G$8*G$10*(1-EXP(-2*$C629/SQRT(PI()*G$9*G$10)))</f>
        <v>0.000260718787800361</v>
      </c>
      <c r="H629" s="3" t="n">
        <f aca="false">H$8*H$10*(1-EXP(-2*$C629/SQRT(PI()*H$9*H$10)))</f>
        <v>5.21465194413067E-005</v>
      </c>
    </row>
    <row r="630" customFormat="false" ht="15.75" hidden="false" customHeight="false" outlineLevel="0" collapsed="false">
      <c r="C630" s="0" t="n">
        <v>61.8</v>
      </c>
      <c r="D630" s="3" t="n">
        <f aca="false">D$8*D$10*(1-EXP(-2*$C630/SQRT(PI()*D$9*D$10)))</f>
        <v>0.000521465194418084</v>
      </c>
      <c r="E630" s="3" t="n">
        <f aca="false">E$8*E$10*(1-EXP(-2*$C630/SQRT(PI()*E$9*E$10)))</f>
        <v>0.000521438012837562</v>
      </c>
      <c r="F630" s="3" t="n">
        <f aca="false">F$8*F$10*(1-EXP(-2*$C630/SQRT(PI()*F$9*F$10)))</f>
        <v>0.000520976853250893</v>
      </c>
      <c r="G630" s="3" t="n">
        <f aca="false">G$8*G$10*(1-EXP(-2*$C630/SQRT(PI()*G$9*G$10)))</f>
        <v>0.000260719006418781</v>
      </c>
      <c r="H630" s="3" t="n">
        <f aca="false">H$8*H$10*(1-EXP(-2*$C630/SQRT(PI()*H$9*H$10)))</f>
        <v>5.21465194418084E-005</v>
      </c>
    </row>
    <row r="631" customFormat="false" ht="15.75" hidden="false" customHeight="false" outlineLevel="0" collapsed="false">
      <c r="C631" s="0" t="n">
        <v>61.9</v>
      </c>
      <c r="D631" s="3" t="n">
        <f aca="false">D$8*D$10*(1-EXP(-2*$C631/SQRT(PI()*D$9*D$10)))</f>
        <v>0.000521465194422926</v>
      </c>
      <c r="E631" s="3" t="n">
        <f aca="false">E$8*E$10*(1-EXP(-2*$C631/SQRT(PI()*E$9*E$10)))</f>
        <v>0.000521438443152487</v>
      </c>
      <c r="F631" s="3" t="n">
        <f aca="false">F$8*F$10*(1-EXP(-2*$C631/SQRT(PI()*F$9*F$10)))</f>
        <v>0.000520982332620278</v>
      </c>
      <c r="G631" s="3" t="n">
        <f aca="false">G$8*G$10*(1-EXP(-2*$C631/SQRT(PI()*G$9*G$10)))</f>
        <v>0.000260719221576243</v>
      </c>
      <c r="H631" s="3" t="n">
        <f aca="false">H$8*H$10*(1-EXP(-2*$C631/SQRT(PI()*H$9*H$10)))</f>
        <v>5.21465194422926E-005</v>
      </c>
    </row>
    <row r="632" customFormat="false" ht="15.75" hidden="false" customHeight="false" outlineLevel="0" collapsed="false">
      <c r="C632" s="0" t="n">
        <v>62</v>
      </c>
      <c r="D632" s="3" t="n">
        <f aca="false">D$8*D$10*(1-EXP(-2*$C632/SQRT(PI()*D$9*D$10)))</f>
        <v>0.000521465194427598</v>
      </c>
      <c r="E632" s="3" t="n">
        <f aca="false">E$8*E$10*(1-EXP(-2*$C632/SQRT(PI()*E$9*E$10)))</f>
        <v>0.000521438866655078</v>
      </c>
      <c r="F632" s="3" t="n">
        <f aca="false">F$8*F$10*(1-EXP(-2*$C632/SQRT(PI()*F$9*F$10)))</f>
        <v>0.000520987750509118</v>
      </c>
      <c r="G632" s="3" t="n">
        <f aca="false">G$8*G$10*(1-EXP(-2*$C632/SQRT(PI()*G$9*G$10)))</f>
        <v>0.000260719433327539</v>
      </c>
      <c r="H632" s="3" t="n">
        <f aca="false">H$8*H$10*(1-EXP(-2*$C632/SQRT(PI()*H$9*H$10)))</f>
        <v>5.21465194427598E-005</v>
      </c>
    </row>
    <row r="633" customFormat="false" ht="15.75" hidden="false" customHeight="false" outlineLevel="0" collapsed="false">
      <c r="C633" s="0" t="n">
        <v>62.1</v>
      </c>
      <c r="D633" s="3" t="n">
        <f aca="false">D$8*D$10*(1-EXP(-2*$C633/SQRT(PI()*D$9*D$10)))</f>
        <v>0.000521465194432106</v>
      </c>
      <c r="E633" s="3" t="n">
        <f aca="false">E$8*E$10*(1-EXP(-2*$C633/SQRT(PI()*E$9*E$10)))</f>
        <v>0.000521439283453183</v>
      </c>
      <c r="F633" s="3" t="n">
        <f aca="false">F$8*F$10*(1-EXP(-2*$C633/SQRT(PI()*F$9*F$10)))</f>
        <v>0.00052099310760725</v>
      </c>
      <c r="G633" s="3" t="n">
        <f aca="false">G$8*G$10*(1-EXP(-2*$C633/SQRT(PI()*G$9*G$10)))</f>
        <v>0.000260719641726591</v>
      </c>
      <c r="H633" s="3" t="n">
        <f aca="false">H$8*H$10*(1-EXP(-2*$C633/SQRT(PI()*H$9*H$10)))</f>
        <v>5.21465194432106E-005</v>
      </c>
    </row>
    <row r="634" customFormat="false" ht="15.75" hidden="false" customHeight="false" outlineLevel="0" collapsed="false">
      <c r="C634" s="0" t="n">
        <v>62.2</v>
      </c>
      <c r="D634" s="3" t="n">
        <f aca="false">D$8*D$10*(1-EXP(-2*$C634/SQRT(PI()*D$9*D$10)))</f>
        <v>0.000521465194436456</v>
      </c>
      <c r="E634" s="3" t="n">
        <f aca="false">E$8*E$10*(1-EXP(-2*$C634/SQRT(PI()*E$9*E$10)))</f>
        <v>0.000521439693652938</v>
      </c>
      <c r="F634" s="3" t="n">
        <f aca="false">F$8*F$10*(1-EXP(-2*$C634/SQRT(PI()*F$9*F$10)))</f>
        <v>0.000520998404596767</v>
      </c>
      <c r="G634" s="3" t="n">
        <f aca="false">G$8*G$10*(1-EXP(-2*$C634/SQRT(PI()*G$9*G$10)))</f>
        <v>0.000260719846826469</v>
      </c>
      <c r="H634" s="3" t="n">
        <f aca="false">H$8*H$10*(1-EXP(-2*$C634/SQRT(PI()*H$9*H$10)))</f>
        <v>5.21465194436456E-005</v>
      </c>
    </row>
    <row r="635" customFormat="false" ht="15.75" hidden="false" customHeight="false" outlineLevel="0" collapsed="false">
      <c r="C635" s="0" t="n">
        <v>62.3</v>
      </c>
      <c r="D635" s="3" t="n">
        <f aca="false">D$8*D$10*(1-EXP(-2*$C635/SQRT(PI()*D$9*D$10)))</f>
        <v>0.000521465194440654</v>
      </c>
      <c r="E635" s="3" t="n">
        <f aca="false">E$8*E$10*(1-EXP(-2*$C635/SQRT(PI()*E$9*E$10)))</f>
        <v>0.000521440097358805</v>
      </c>
      <c r="F635" s="3" t="n">
        <f aca="false">F$8*F$10*(1-EXP(-2*$C635/SQRT(PI()*F$9*F$10)))</f>
        <v>0.00052100364215211</v>
      </c>
      <c r="G635" s="3" t="n">
        <f aca="false">G$8*G$10*(1-EXP(-2*$C635/SQRT(PI()*G$9*G$10)))</f>
        <v>0.000260720048679402</v>
      </c>
      <c r="H635" s="3" t="n">
        <f aca="false">H$8*H$10*(1-EXP(-2*$C635/SQRT(PI()*H$9*H$10)))</f>
        <v>5.21465194440654E-005</v>
      </c>
    </row>
    <row r="636" customFormat="false" ht="15.75" hidden="false" customHeight="false" outlineLevel="0" collapsed="false">
      <c r="C636" s="0" t="n">
        <v>62.4</v>
      </c>
      <c r="D636" s="3" t="n">
        <f aca="false">D$8*D$10*(1-EXP(-2*$C636/SQRT(PI()*D$9*D$10)))</f>
        <v>0.000521465194444704</v>
      </c>
      <c r="E636" s="3" t="n">
        <f aca="false">E$8*E$10*(1-EXP(-2*$C636/SQRT(PI()*E$9*E$10)))</f>
        <v>0.000521440494673587</v>
      </c>
      <c r="F636" s="3" t="n">
        <f aca="false">F$8*F$10*(1-EXP(-2*$C636/SQRT(PI()*F$9*F$10)))</f>
        <v>0.000521008820940151</v>
      </c>
      <c r="G636" s="3" t="n">
        <f aca="false">G$8*G$10*(1-EXP(-2*$C636/SQRT(PI()*G$9*G$10)))</f>
        <v>0.000260720247336793</v>
      </c>
      <c r="H636" s="3" t="n">
        <f aca="false">H$8*H$10*(1-EXP(-2*$C636/SQRT(PI()*H$9*H$10)))</f>
        <v>5.21465194444704E-005</v>
      </c>
    </row>
    <row r="637" customFormat="false" ht="15.75" hidden="false" customHeight="false" outlineLevel="0" collapsed="false">
      <c r="C637" s="0" t="n">
        <v>62.5</v>
      </c>
      <c r="D637" s="3" t="n">
        <f aca="false">D$8*D$10*(1-EXP(-2*$C637/SQRT(PI()*D$9*D$10)))</f>
        <v>0.000521465194448613</v>
      </c>
      <c r="E637" s="3" t="n">
        <f aca="false">E$8*E$10*(1-EXP(-2*$C637/SQRT(PI()*E$9*E$10)))</f>
        <v>0.000521440885698462</v>
      </c>
      <c r="F637" s="3" t="n">
        <f aca="false">F$8*F$10*(1-EXP(-2*$C637/SQRT(PI()*F$9*F$10)))</f>
        <v>0.000521013941620283</v>
      </c>
      <c r="G637" s="3" t="n">
        <f aca="false">G$8*G$10*(1-EXP(-2*$C637/SQRT(PI()*G$9*G$10)))</f>
        <v>0.000260720442849231</v>
      </c>
      <c r="H637" s="3" t="n">
        <f aca="false">H$8*H$10*(1-EXP(-2*$C637/SQRT(PI()*H$9*H$10)))</f>
        <v>5.21465194448613E-005</v>
      </c>
    </row>
    <row r="638" customFormat="false" ht="15.75" hidden="false" customHeight="false" outlineLevel="0" collapsed="false">
      <c r="C638" s="0" t="n">
        <v>62.6</v>
      </c>
      <c r="D638" s="3" t="n">
        <f aca="false">D$8*D$10*(1-EXP(-2*$C638/SQRT(PI()*D$9*D$10)))</f>
        <v>0.000521465194452384</v>
      </c>
      <c r="E638" s="3" t="n">
        <f aca="false">E$8*E$10*(1-EXP(-2*$C638/SQRT(PI()*E$9*E$10)))</f>
        <v>0.000521441270533006</v>
      </c>
      <c r="F638" s="3" t="n">
        <f aca="false">F$8*F$10*(1-EXP(-2*$C638/SQRT(PI()*F$9*F$10)))</f>
        <v>0.000521019004844497</v>
      </c>
      <c r="G638" s="3" t="n">
        <f aca="false">G$8*G$10*(1-EXP(-2*$C638/SQRT(PI()*G$9*G$10)))</f>
        <v>0.000260720635266503</v>
      </c>
      <c r="H638" s="3" t="n">
        <f aca="false">H$8*H$10*(1-EXP(-2*$C638/SQRT(PI()*H$9*H$10)))</f>
        <v>5.21465194452384E-005</v>
      </c>
    </row>
    <row r="639" customFormat="false" ht="15.75" hidden="false" customHeight="false" outlineLevel="0" collapsed="false">
      <c r="C639" s="0" t="n">
        <v>62.7</v>
      </c>
      <c r="D639" s="3" t="n">
        <f aca="false">D$8*D$10*(1-EXP(-2*$C639/SQRT(PI()*D$9*D$10)))</f>
        <v>0.000521465194456023</v>
      </c>
      <c r="E639" s="3" t="n">
        <f aca="false">E$8*E$10*(1-EXP(-2*$C639/SQRT(PI()*E$9*E$10)))</f>
        <v>0.000521441649275218</v>
      </c>
      <c r="F639" s="3" t="n">
        <f aca="false">F$8*F$10*(1-EXP(-2*$C639/SQRT(PI()*F$9*F$10)))</f>
        <v>0.00052102401125747</v>
      </c>
      <c r="G639" s="3" t="n">
        <f aca="false">G$8*G$10*(1-EXP(-2*$C639/SQRT(PI()*G$9*G$10)))</f>
        <v>0.000260720824637609</v>
      </c>
      <c r="H639" s="3" t="n">
        <f aca="false">H$8*H$10*(1-EXP(-2*$C639/SQRT(PI()*H$9*H$10)))</f>
        <v>5.21465194456023E-005</v>
      </c>
    </row>
    <row r="640" customFormat="false" ht="15.75" hidden="false" customHeight="false" outlineLevel="0" collapsed="false">
      <c r="C640" s="0" t="n">
        <v>62.8</v>
      </c>
      <c r="D640" s="3" t="n">
        <f aca="false">D$8*D$10*(1-EXP(-2*$C640/SQRT(PI()*D$9*D$10)))</f>
        <v>0.000521465194459535</v>
      </c>
      <c r="E640" s="3" t="n">
        <f aca="false">E$8*E$10*(1-EXP(-2*$C640/SQRT(PI()*E$9*E$10)))</f>
        <v>0.000521442022021546</v>
      </c>
      <c r="F640" s="3" t="n">
        <f aca="false">F$8*F$10*(1-EXP(-2*$C640/SQRT(PI()*F$9*F$10)))</f>
        <v>0.000521028961496644</v>
      </c>
      <c r="G640" s="3" t="n">
        <f aca="false">G$8*G$10*(1-EXP(-2*$C640/SQRT(PI()*G$9*G$10)))</f>
        <v>0.000260721011010773</v>
      </c>
      <c r="H640" s="3" t="n">
        <f aca="false">H$8*H$10*(1-EXP(-2*$C640/SQRT(PI()*H$9*H$10)))</f>
        <v>5.21465194459535E-005</v>
      </c>
    </row>
    <row r="641" customFormat="false" ht="15.75" hidden="false" customHeight="false" outlineLevel="0" collapsed="false">
      <c r="C641" s="0" t="n">
        <v>62.9</v>
      </c>
      <c r="D641" s="3" t="n">
        <f aca="false">D$8*D$10*(1-EXP(-2*$C641/SQRT(PI()*D$9*D$10)))</f>
        <v>0.000521465194462924</v>
      </c>
      <c r="E641" s="3" t="n">
        <f aca="false">E$8*E$10*(1-EXP(-2*$C641/SQRT(PI()*E$9*E$10)))</f>
        <v>0.000521442388866912</v>
      </c>
      <c r="F641" s="3" t="n">
        <f aca="false">F$8*F$10*(1-EXP(-2*$C641/SQRT(PI()*F$9*F$10)))</f>
        <v>0.000521033856192311</v>
      </c>
      <c r="G641" s="3" t="n">
        <f aca="false">G$8*G$10*(1-EXP(-2*$C641/SQRT(PI()*G$9*G$10)))</f>
        <v>0.000260721194433456</v>
      </c>
      <c r="H641" s="3" t="n">
        <f aca="false">H$8*H$10*(1-EXP(-2*$C641/SQRT(PI()*H$9*H$10)))</f>
        <v>5.21465194462924E-005</v>
      </c>
    </row>
    <row r="642" customFormat="false" ht="15.75" hidden="false" customHeight="false" outlineLevel="0" collapsed="false">
      <c r="C642" s="0" t="n">
        <v>63</v>
      </c>
      <c r="D642" s="3" t="n">
        <f aca="false">D$8*D$10*(1-EXP(-2*$C642/SQRT(PI()*D$9*D$10)))</f>
        <v>0.000521465194466194</v>
      </c>
      <c r="E642" s="3" t="n">
        <f aca="false">E$8*E$10*(1-EXP(-2*$C642/SQRT(PI()*E$9*E$10)))</f>
        <v>0.000521442749904733</v>
      </c>
      <c r="F642" s="3" t="n">
        <f aca="false">F$8*F$10*(1-EXP(-2*$C642/SQRT(PI()*F$9*F$10)))</f>
        <v>0.000521038695967689</v>
      </c>
      <c r="G642" s="3" t="n">
        <f aca="false">G$8*G$10*(1-EXP(-2*$C642/SQRT(PI()*G$9*G$10)))</f>
        <v>0.000260721374952366</v>
      </c>
      <c r="H642" s="3" t="n">
        <f aca="false">H$8*H$10*(1-EXP(-2*$C642/SQRT(PI()*H$9*H$10)))</f>
        <v>5.21465194466194E-005</v>
      </c>
    </row>
    <row r="643" customFormat="false" ht="15.75" hidden="false" customHeight="false" outlineLevel="0" collapsed="false">
      <c r="C643" s="0" t="n">
        <v>63.1</v>
      </c>
      <c r="D643" s="3" t="n">
        <f aca="false">D$8*D$10*(1-EXP(-2*$C643/SQRT(PI()*D$9*D$10)))</f>
        <v>0.000521465194469349</v>
      </c>
      <c r="E643" s="3" t="n">
        <f aca="false">E$8*E$10*(1-EXP(-2*$C643/SQRT(PI()*E$9*E$10)))</f>
        <v>0.000521443105226949</v>
      </c>
      <c r="F643" s="3" t="n">
        <f aca="false">F$8*F$10*(1-EXP(-2*$C643/SQRT(PI()*F$9*F$10)))</f>
        <v>0.000521043481439004</v>
      </c>
      <c r="G643" s="3" t="n">
        <f aca="false">G$8*G$10*(1-EXP(-2*$C643/SQRT(PI()*G$9*G$10)))</f>
        <v>0.000260721552613475</v>
      </c>
      <c r="H643" s="3" t="n">
        <f aca="false">H$8*H$10*(1-EXP(-2*$C643/SQRT(PI()*H$9*H$10)))</f>
        <v>5.21465194469349E-005</v>
      </c>
    </row>
    <row r="644" customFormat="false" ht="15.75" hidden="false" customHeight="false" outlineLevel="0" collapsed="false">
      <c r="C644" s="0" t="n">
        <v>63.2</v>
      </c>
      <c r="D644" s="3" t="n">
        <f aca="false">D$8*D$10*(1-EXP(-2*$C644/SQRT(PI()*D$9*D$10)))</f>
        <v>0.000521465194472393</v>
      </c>
      <c r="E644" s="3" t="n">
        <f aca="false">E$8*E$10*(1-EXP(-2*$C644/SQRT(PI()*E$9*E$10)))</f>
        <v>0.000521443454924045</v>
      </c>
      <c r="F644" s="3" t="n">
        <f aca="false">F$8*F$10*(1-EXP(-2*$C644/SQRT(PI()*F$9*F$10)))</f>
        <v>0.000521048213215567</v>
      </c>
      <c r="G644" s="3" t="n">
        <f aca="false">G$8*G$10*(1-EXP(-2*$C644/SQRT(PI()*G$9*G$10)))</f>
        <v>0.000260721727462022</v>
      </c>
      <c r="H644" s="3" t="n">
        <f aca="false">H$8*H$10*(1-EXP(-2*$C644/SQRT(PI()*H$9*H$10)))</f>
        <v>5.21465194472393E-005</v>
      </c>
    </row>
    <row r="645" customFormat="false" ht="15.75" hidden="false" customHeight="false" outlineLevel="0" collapsed="false">
      <c r="C645" s="0" t="n">
        <v>63.3</v>
      </c>
      <c r="D645" s="3" t="n">
        <f aca="false">D$8*D$10*(1-EXP(-2*$C645/SQRT(PI()*D$9*D$10)))</f>
        <v>0.000521465194475331</v>
      </c>
      <c r="E645" s="3" t="n">
        <f aca="false">E$8*E$10*(1-EXP(-2*$C645/SQRT(PI()*E$9*E$10)))</f>
        <v>0.000521443799085071</v>
      </c>
      <c r="F645" s="3" t="n">
        <f aca="false">F$8*F$10*(1-EXP(-2*$C645/SQRT(PI()*F$9*F$10)))</f>
        <v>0.000521052891899853</v>
      </c>
      <c r="G645" s="3" t="n">
        <f aca="false">G$8*G$10*(1-EXP(-2*$C645/SQRT(PI()*G$9*G$10)))</f>
        <v>0.000260721899542536</v>
      </c>
      <c r="H645" s="3" t="n">
        <f aca="false">H$8*H$10*(1-EXP(-2*$C645/SQRT(PI()*H$9*H$10)))</f>
        <v>5.21465194475331E-005</v>
      </c>
    </row>
    <row r="646" customFormat="false" ht="15.75" hidden="false" customHeight="false" outlineLevel="0" collapsed="false">
      <c r="C646" s="0" t="n">
        <v>63.4</v>
      </c>
      <c r="D646" s="3" t="n">
        <f aca="false">D$8*D$10*(1-EXP(-2*$C646/SQRT(PI()*D$9*D$10)))</f>
        <v>0.000521465194478166</v>
      </c>
      <c r="E646" s="3" t="n">
        <f aca="false">E$8*E$10*(1-EXP(-2*$C646/SQRT(PI()*E$9*E$10)))</f>
        <v>0.00052144413779767</v>
      </c>
      <c r="F646" s="3" t="n">
        <f aca="false">F$8*F$10*(1-EXP(-2*$C646/SQRT(PI()*F$9*F$10)))</f>
        <v>0.000521057518087579</v>
      </c>
      <c r="G646" s="3" t="n">
        <f aca="false">G$8*G$10*(1-EXP(-2*$C646/SQRT(PI()*G$9*G$10)))</f>
        <v>0.000260722068898835</v>
      </c>
      <c r="H646" s="3" t="n">
        <f aca="false">H$8*H$10*(1-EXP(-2*$C646/SQRT(PI()*H$9*H$10)))</f>
        <v>5.21465194478166E-005</v>
      </c>
    </row>
    <row r="647" customFormat="false" ht="15.75" hidden="false" customHeight="false" outlineLevel="0" collapsed="false">
      <c r="C647" s="0" t="n">
        <v>63.5</v>
      </c>
      <c r="D647" s="3" t="n">
        <f aca="false">D$8*D$10*(1-EXP(-2*$C647/SQRT(PI()*D$9*D$10)))</f>
        <v>0.000521465194480902</v>
      </c>
      <c r="E647" s="3" t="n">
        <f aca="false">E$8*E$10*(1-EXP(-2*$C647/SQRT(PI()*E$9*E$10)))</f>
        <v>0.000521444471148095</v>
      </c>
      <c r="F647" s="3" t="n">
        <f aca="false">F$8*F$10*(1-EXP(-2*$C647/SQRT(PI()*F$9*F$10)))</f>
        <v>0.000521062092367773</v>
      </c>
      <c r="G647" s="3" t="n">
        <f aca="false">G$8*G$10*(1-EXP(-2*$C647/SQRT(PI()*G$9*G$10)))</f>
        <v>0.000260722235574047</v>
      </c>
      <c r="H647" s="3" t="n">
        <f aca="false">H$8*H$10*(1-EXP(-2*$C647/SQRT(PI()*H$9*H$10)))</f>
        <v>5.21465194480902E-005</v>
      </c>
    </row>
    <row r="648" customFormat="false" ht="15.75" hidden="false" customHeight="false" outlineLevel="0" collapsed="false">
      <c r="C648" s="0" t="n">
        <v>63.6</v>
      </c>
      <c r="D648" s="3" t="n">
        <f aca="false">D$8*D$10*(1-EXP(-2*$C648/SQRT(PI()*D$9*D$10)))</f>
        <v>0.000521465194483542</v>
      </c>
      <c r="E648" s="3" t="n">
        <f aca="false">E$8*E$10*(1-EXP(-2*$C648/SQRT(PI()*E$9*E$10)))</f>
        <v>0.000521444799221236</v>
      </c>
      <c r="F648" s="3" t="n">
        <f aca="false">F$8*F$10*(1-EXP(-2*$C648/SQRT(PI()*F$9*F$10)))</f>
        <v>0.000521066615322858</v>
      </c>
      <c r="G648" s="3" t="n">
        <f aca="false">G$8*G$10*(1-EXP(-2*$C648/SQRT(PI()*G$9*G$10)))</f>
        <v>0.000260722399610618</v>
      </c>
      <c r="H648" s="3" t="n">
        <f aca="false">H$8*H$10*(1-EXP(-2*$C648/SQRT(PI()*H$9*H$10)))</f>
        <v>5.21465194483541E-005</v>
      </c>
    </row>
    <row r="649" customFormat="false" ht="15.75" hidden="false" customHeight="false" outlineLevel="0" collapsed="false">
      <c r="C649" s="0" t="n">
        <v>63.7</v>
      </c>
      <c r="D649" s="3" t="n">
        <f aca="false">D$8*D$10*(1-EXP(-2*$C649/SQRT(PI()*D$9*D$10)))</f>
        <v>0.000521465194486089</v>
      </c>
      <c r="E649" s="3" t="n">
        <f aca="false">E$8*E$10*(1-EXP(-2*$C649/SQRT(PI()*E$9*E$10)))</f>
        <v>0.000521445122100637</v>
      </c>
      <c r="F649" s="3" t="n">
        <f aca="false">F$8*F$10*(1-EXP(-2*$C649/SQRT(PI()*F$9*F$10)))</f>
        <v>0.00052107108752872</v>
      </c>
      <c r="G649" s="3" t="n">
        <f aca="false">G$8*G$10*(1-EXP(-2*$C649/SQRT(PI()*G$9*G$10)))</f>
        <v>0.000260722561050318</v>
      </c>
      <c r="H649" s="3" t="n">
        <f aca="false">H$8*H$10*(1-EXP(-2*$C649/SQRT(PI()*H$9*H$10)))</f>
        <v>5.21465194486089E-005</v>
      </c>
    </row>
    <row r="650" customFormat="false" ht="15.75" hidden="false" customHeight="false" outlineLevel="0" collapsed="false">
      <c r="C650" s="0" t="n">
        <v>63.8</v>
      </c>
      <c r="D650" s="3" t="n">
        <f aca="false">D$8*D$10*(1-EXP(-2*$C650/SQRT(PI()*D$9*D$10)))</f>
        <v>0.000521465194488546</v>
      </c>
      <c r="E650" s="3" t="n">
        <f aca="false">E$8*E$10*(1-EXP(-2*$C650/SQRT(PI()*E$9*E$10)))</f>
        <v>0.000521445439868521</v>
      </c>
      <c r="F650" s="3" t="n">
        <f aca="false">F$8*F$10*(1-EXP(-2*$C650/SQRT(PI()*F$9*F$10)))</f>
        <v>0.000521075509554785</v>
      </c>
      <c r="G650" s="3" t="n">
        <f aca="false">G$8*G$10*(1-EXP(-2*$C650/SQRT(PI()*G$9*G$10)))</f>
        <v>0.00026072271993426</v>
      </c>
      <c r="H650" s="3" t="n">
        <f aca="false">H$8*H$10*(1-EXP(-2*$C650/SQRT(PI()*H$9*H$10)))</f>
        <v>5.21465194488546E-005</v>
      </c>
    </row>
    <row r="651" customFormat="false" ht="15.75" hidden="false" customHeight="false" outlineLevel="0" collapsed="false">
      <c r="C651" s="0" t="n">
        <v>63.9</v>
      </c>
      <c r="D651" s="3" t="n">
        <f aca="false">D$8*D$10*(1-EXP(-2*$C651/SQRT(PI()*D$9*D$10)))</f>
        <v>0.000521465194490918</v>
      </c>
      <c r="E651" s="3" t="n">
        <f aca="false">E$8*E$10*(1-EXP(-2*$C651/SQRT(PI()*E$9*E$10)))</f>
        <v>0.000521445752605808</v>
      </c>
      <c r="F651" s="3" t="n">
        <f aca="false">F$8*F$10*(1-EXP(-2*$C651/SQRT(PI()*F$9*F$10)))</f>
        <v>0.000521079881964088</v>
      </c>
      <c r="G651" s="3" t="n">
        <f aca="false">G$8*G$10*(1-EXP(-2*$C651/SQRT(PI()*G$9*G$10)))</f>
        <v>0.000260722876302904</v>
      </c>
      <c r="H651" s="3" t="n">
        <f aca="false">H$8*H$10*(1-EXP(-2*$C651/SQRT(PI()*H$9*H$10)))</f>
        <v>5.21465194490918E-005</v>
      </c>
    </row>
    <row r="652" customFormat="false" ht="15.75" hidden="false" customHeight="false" outlineLevel="0" collapsed="false">
      <c r="C652" s="0" t="n">
        <v>64</v>
      </c>
      <c r="D652" s="3" t="n">
        <f aca="false">D$8*D$10*(1-EXP(-2*$C652/SQRT(PI()*D$9*D$10)))</f>
        <v>0.000521465194493207</v>
      </c>
      <c r="E652" s="3" t="n">
        <f aca="false">E$8*E$10*(1-EXP(-2*$C652/SQRT(PI()*E$9*E$10)))</f>
        <v>0.000521446060392138</v>
      </c>
      <c r="F652" s="3" t="n">
        <f aca="false">F$8*F$10*(1-EXP(-2*$C652/SQRT(PI()*F$9*F$10)))</f>
        <v>0.000521084205313347</v>
      </c>
      <c r="G652" s="3" t="n">
        <f aca="false">G$8*G$10*(1-EXP(-2*$C652/SQRT(PI()*G$9*G$10)))</f>
        <v>0.000260723030196069</v>
      </c>
      <c r="H652" s="3" t="n">
        <f aca="false">H$8*H$10*(1-EXP(-2*$C652/SQRT(PI()*H$9*H$10)))</f>
        <v>5.21465194493207E-005</v>
      </c>
    </row>
    <row r="653" customFormat="false" ht="15.75" hidden="false" customHeight="false" outlineLevel="0" collapsed="false">
      <c r="C653" s="0" t="n">
        <v>64.1</v>
      </c>
      <c r="D653" s="3" t="n">
        <f aca="false">D$8*D$10*(1-EXP(-2*$C653/SQRT(PI()*D$9*D$10)))</f>
        <v>0.000521465194495415</v>
      </c>
      <c r="E653" s="3" t="n">
        <f aca="false">E$8*E$10*(1-EXP(-2*$C653/SQRT(PI()*E$9*E$10)))</f>
        <v>0.00052144636330589</v>
      </c>
      <c r="F653" s="3" t="n">
        <f aca="false">F$8*F$10*(1-EXP(-2*$C653/SQRT(PI()*F$9*F$10)))</f>
        <v>0.000521088480153035</v>
      </c>
      <c r="G653" s="3" t="n">
        <f aca="false">G$8*G$10*(1-EXP(-2*$C653/SQRT(PI()*G$9*G$10)))</f>
        <v>0.000260723181652945</v>
      </c>
      <c r="H653" s="3" t="n">
        <f aca="false">H$8*H$10*(1-EXP(-2*$C653/SQRT(PI()*H$9*H$10)))</f>
        <v>5.21465194495415E-005</v>
      </c>
    </row>
    <row r="654" customFormat="false" ht="15.75" hidden="false" customHeight="false" outlineLevel="0" collapsed="false">
      <c r="C654" s="0" t="n">
        <v>64.2</v>
      </c>
      <c r="D654" s="3" t="n">
        <f aca="false">D$8*D$10*(1-EXP(-2*$C654/SQRT(PI()*D$9*D$10)))</f>
        <v>0.000521465194497546</v>
      </c>
      <c r="E654" s="3" t="n">
        <f aca="false">E$8*E$10*(1-EXP(-2*$C654/SQRT(PI()*E$9*E$10)))</f>
        <v>0.000521446661424201</v>
      </c>
      <c r="F654" s="3" t="n">
        <f aca="false">F$8*F$10*(1-EXP(-2*$C654/SQRT(PI()*F$9*F$10)))</f>
        <v>0.000521092707027446</v>
      </c>
      <c r="G654" s="3" t="n">
        <f aca="false">G$8*G$10*(1-EXP(-2*$C654/SQRT(PI()*G$9*G$10)))</f>
        <v>0.000260723330712101</v>
      </c>
      <c r="H654" s="3" t="n">
        <f aca="false">H$8*H$10*(1-EXP(-2*$C654/SQRT(PI()*H$9*H$10)))</f>
        <v>5.21465194497546E-005</v>
      </c>
    </row>
    <row r="655" customFormat="false" ht="15.75" hidden="false" customHeight="false" outlineLevel="0" collapsed="false">
      <c r="C655" s="0" t="n">
        <v>64.3</v>
      </c>
      <c r="D655" s="3" t="n">
        <f aca="false">D$8*D$10*(1-EXP(-2*$C655/SQRT(PI()*D$9*D$10)))</f>
        <v>0.000521465194499602</v>
      </c>
      <c r="E655" s="3" t="n">
        <f aca="false">E$8*E$10*(1-EXP(-2*$C655/SQRT(PI()*E$9*E$10)))</f>
        <v>0.000521446954822989</v>
      </c>
      <c r="F655" s="3" t="n">
        <f aca="false">F$8*F$10*(1-EXP(-2*$C655/SQRT(PI()*F$9*F$10)))</f>
        <v>0.000521096886474769</v>
      </c>
      <c r="G655" s="3" t="n">
        <f aca="false">G$8*G$10*(1-EXP(-2*$C655/SQRT(PI()*G$9*G$10)))</f>
        <v>0.000260723477411495</v>
      </c>
      <c r="H655" s="3" t="n">
        <f aca="false">H$8*H$10*(1-EXP(-2*$C655/SQRT(PI()*H$9*H$10)))</f>
        <v>5.21465194499602E-005</v>
      </c>
    </row>
    <row r="656" customFormat="false" ht="15.75" hidden="false" customHeight="false" outlineLevel="0" collapsed="false">
      <c r="C656" s="0" t="n">
        <v>64.4</v>
      </c>
      <c r="D656" s="3" t="n">
        <f aca="false">D$8*D$10*(1-EXP(-2*$C656/SQRT(PI()*D$9*D$10)))</f>
        <v>0.000521465194501586</v>
      </c>
      <c r="E656" s="3" t="n">
        <f aca="false">E$8*E$10*(1-EXP(-2*$C656/SQRT(PI()*E$9*E$10)))</f>
        <v>0.000521447243576969</v>
      </c>
      <c r="F656" s="3" t="n">
        <f aca="false">F$8*F$10*(1-EXP(-2*$C656/SQRT(PI()*F$9*F$10)))</f>
        <v>0.000521101019027153</v>
      </c>
      <c r="G656" s="3" t="n">
        <f aca="false">G$8*G$10*(1-EXP(-2*$C656/SQRT(PI()*G$9*G$10)))</f>
        <v>0.000260723621788484</v>
      </c>
      <c r="H656" s="3" t="n">
        <f aca="false">H$8*H$10*(1-EXP(-2*$C656/SQRT(PI()*H$9*H$10)))</f>
        <v>5.21465194501586E-005</v>
      </c>
    </row>
    <row r="657" customFormat="false" ht="15.75" hidden="false" customHeight="false" outlineLevel="0" collapsed="false">
      <c r="C657" s="0" t="n">
        <v>64.5</v>
      </c>
      <c r="D657" s="3" t="n">
        <f aca="false">D$8*D$10*(1-EXP(-2*$C657/SQRT(PI()*D$9*D$10)))</f>
        <v>0.000521465194503501</v>
      </c>
      <c r="E657" s="3" t="n">
        <f aca="false">E$8*E$10*(1-EXP(-2*$C657/SQRT(PI()*E$9*E$10)))</f>
        <v>0.000521447527759672</v>
      </c>
      <c r="F657" s="3" t="n">
        <f aca="false">F$8*F$10*(1-EXP(-2*$C657/SQRT(PI()*F$9*F$10)))</f>
        <v>0.000521105105210776</v>
      </c>
      <c r="G657" s="3" t="n">
        <f aca="false">G$8*G$10*(1-EXP(-2*$C657/SQRT(PI()*G$9*G$10)))</f>
        <v>0.000260723763879836</v>
      </c>
      <c r="H657" s="3" t="n">
        <f aca="false">H$8*H$10*(1-EXP(-2*$C657/SQRT(PI()*H$9*H$10)))</f>
        <v>5.21465194503501E-005</v>
      </c>
    </row>
    <row r="658" customFormat="false" ht="15.75" hidden="false" customHeight="false" outlineLevel="0" collapsed="false">
      <c r="C658" s="0" t="n">
        <v>64.6</v>
      </c>
      <c r="D658" s="3" t="n">
        <f aca="false">D$8*D$10*(1-EXP(-2*$C658/SQRT(PI()*D$9*D$10)))</f>
        <v>0.000521465194505348</v>
      </c>
      <c r="E658" s="3" t="n">
        <f aca="false">E$8*E$10*(1-EXP(-2*$C658/SQRT(PI()*E$9*E$10)))</f>
        <v>0.000521447807443467</v>
      </c>
      <c r="F658" s="3" t="n">
        <f aca="false">F$8*F$10*(1-EXP(-2*$C658/SQRT(PI()*F$9*F$10)))</f>
        <v>0.000521109145545914</v>
      </c>
      <c r="G658" s="3" t="n">
        <f aca="false">G$8*G$10*(1-EXP(-2*$C658/SQRT(PI()*G$9*G$10)))</f>
        <v>0.000260723903721734</v>
      </c>
      <c r="H658" s="3" t="n">
        <f aca="false">H$8*H$10*(1-EXP(-2*$C658/SQRT(PI()*H$9*H$10)))</f>
        <v>5.21465194505348E-005</v>
      </c>
    </row>
    <row r="659" customFormat="false" ht="15.75" hidden="false" customHeight="false" outlineLevel="0" collapsed="false">
      <c r="C659" s="0" t="n">
        <v>64.7</v>
      </c>
      <c r="D659" s="3" t="n">
        <f aca="false">D$8*D$10*(1-EXP(-2*$C659/SQRT(PI()*D$9*D$10)))</f>
        <v>0.000521465194507131</v>
      </c>
      <c r="E659" s="3" t="n">
        <f aca="false">E$8*E$10*(1-EXP(-2*$C659/SQRT(PI()*E$9*E$10)))</f>
        <v>0.000521448082699576</v>
      </c>
      <c r="F659" s="3" t="n">
        <f aca="false">F$8*F$10*(1-EXP(-2*$C659/SQRT(PI()*F$9*F$10)))</f>
        <v>0.000521113140547003</v>
      </c>
      <c r="G659" s="3" t="n">
        <f aca="false">G$8*G$10*(1-EXP(-2*$C659/SQRT(PI()*G$9*G$10)))</f>
        <v>0.000260724041349788</v>
      </c>
      <c r="H659" s="3" t="n">
        <f aca="false">H$8*H$10*(1-EXP(-2*$C659/SQRT(PI()*H$9*H$10)))</f>
        <v>5.21465194507131E-005</v>
      </c>
    </row>
    <row r="660" customFormat="false" ht="15.75" hidden="false" customHeight="false" outlineLevel="0" collapsed="false">
      <c r="C660" s="0" t="n">
        <v>64.8</v>
      </c>
      <c r="D660" s="3" t="n">
        <f aca="false">D$8*D$10*(1-EXP(-2*$C660/SQRT(PI()*D$9*D$10)))</f>
        <v>0.000521465194508851</v>
      </c>
      <c r="E660" s="3" t="n">
        <f aca="false">E$8*E$10*(1-EXP(-2*$C660/SQRT(PI()*E$9*E$10)))</f>
        <v>0.000521448353598094</v>
      </c>
      <c r="F660" s="3" t="n">
        <f aca="false">F$8*F$10*(1-EXP(-2*$C660/SQRT(PI()*F$9*F$10)))</f>
        <v>0.000521117090722707</v>
      </c>
      <c r="G660" s="3" t="n">
        <f aca="false">G$8*G$10*(1-EXP(-2*$C660/SQRT(PI()*G$9*G$10)))</f>
        <v>0.000260724176799047</v>
      </c>
      <c r="H660" s="3" t="n">
        <f aca="false">H$8*H$10*(1-EXP(-2*$C660/SQRT(PI()*H$9*H$10)))</f>
        <v>5.21465194508851E-005</v>
      </c>
    </row>
    <row r="661" customFormat="false" ht="15.75" hidden="false" customHeight="false" outlineLevel="0" collapsed="false">
      <c r="C661" s="0" t="n">
        <v>64.9</v>
      </c>
      <c r="D661" s="3" t="n">
        <f aca="false">D$8*D$10*(1-EXP(-2*$C661/SQRT(PI()*D$9*D$10)))</f>
        <v>0.000521465194510511</v>
      </c>
      <c r="E661" s="3" t="n">
        <f aca="false">E$8*E$10*(1-EXP(-2*$C661/SQRT(PI()*E$9*E$10)))</f>
        <v>0.000521448620208007</v>
      </c>
      <c r="F661" s="3" t="n">
        <f aca="false">F$8*F$10*(1-EXP(-2*$C661/SQRT(PI()*F$9*F$10)))</f>
        <v>0.000521120996575984</v>
      </c>
      <c r="G661" s="3" t="n">
        <f aca="false">G$8*G$10*(1-EXP(-2*$C661/SQRT(PI()*G$9*G$10)))</f>
        <v>0.000260724310104003</v>
      </c>
      <c r="H661" s="3" t="n">
        <f aca="false">H$8*H$10*(1-EXP(-2*$C661/SQRT(PI()*H$9*H$10)))</f>
        <v>5.21465194510511E-005</v>
      </c>
    </row>
    <row r="662" customFormat="false" ht="15.75" hidden="false" customHeight="false" outlineLevel="0" collapsed="false">
      <c r="C662" s="0" t="n">
        <v>65</v>
      </c>
      <c r="D662" s="3" t="n">
        <f aca="false">D$8*D$10*(1-EXP(-2*$C662/SQRT(PI()*D$9*D$10)))</f>
        <v>0.000521465194512113</v>
      </c>
      <c r="E662" s="3" t="n">
        <f aca="false">E$8*E$10*(1-EXP(-2*$C662/SQRT(PI()*E$9*E$10)))</f>
        <v>0.000521448882597206</v>
      </c>
      <c r="F662" s="3" t="n">
        <f aca="false">F$8*F$10*(1-EXP(-2*$C662/SQRT(PI()*F$9*F$10)))</f>
        <v>0.000521124858604149</v>
      </c>
      <c r="G662" s="3" t="n">
        <f aca="false">G$8*G$10*(1-EXP(-2*$C662/SQRT(PI()*G$9*G$10)))</f>
        <v>0.000260724441298603</v>
      </c>
      <c r="H662" s="3" t="n">
        <f aca="false">H$8*H$10*(1-EXP(-2*$C662/SQRT(PI()*H$9*H$10)))</f>
        <v>5.21465194512113E-005</v>
      </c>
    </row>
    <row r="663" customFormat="false" ht="15.75" hidden="false" customHeight="false" outlineLevel="0" collapsed="false">
      <c r="C663" s="0" t="n">
        <v>65.1</v>
      </c>
      <c r="D663" s="3" t="n">
        <f aca="false">D$8*D$10*(1-EXP(-2*$C663/SQRT(PI()*D$9*D$10)))</f>
        <v>0.000521465194513659</v>
      </c>
      <c r="E663" s="3" t="n">
        <f aca="false">E$8*E$10*(1-EXP(-2*$C663/SQRT(PI()*E$9*E$10)))</f>
        <v>0.000521449140832512</v>
      </c>
      <c r="F663" s="3" t="n">
        <f aca="false">F$8*F$10*(1-EXP(-2*$C663/SQRT(PI()*F$9*F$10)))</f>
        <v>0.000521128677298934</v>
      </c>
      <c r="G663" s="3" t="n">
        <f aca="false">G$8*G$10*(1-EXP(-2*$C663/SQRT(PI()*G$9*G$10)))</f>
        <v>0.000260724570416256</v>
      </c>
      <c r="H663" s="3" t="n">
        <f aca="false">H$8*H$10*(1-EXP(-2*$C663/SQRT(PI()*H$9*H$10)))</f>
        <v>5.21465194513659E-005</v>
      </c>
    </row>
    <row r="664" customFormat="false" ht="15.75" hidden="false" customHeight="false" outlineLevel="0" collapsed="false">
      <c r="C664" s="0" t="n">
        <v>65.2</v>
      </c>
      <c r="D664" s="3" t="n">
        <f aca="false">D$8*D$10*(1-EXP(-2*$C664/SQRT(PI()*D$9*D$10)))</f>
        <v>0.00052146519451515</v>
      </c>
      <c r="E664" s="3" t="n">
        <f aca="false">E$8*E$10*(1-EXP(-2*$C664/SQRT(PI()*E$9*E$10)))</f>
        <v>0.000521449394979683</v>
      </c>
      <c r="F664" s="3" t="n">
        <f aca="false">F$8*F$10*(1-EXP(-2*$C664/SQRT(PI()*F$9*F$10)))</f>
        <v>0.000521132453146557</v>
      </c>
      <c r="G664" s="3" t="n">
        <f aca="false">G$8*G$10*(1-EXP(-2*$C664/SQRT(PI()*G$9*G$10)))</f>
        <v>0.000260724697489842</v>
      </c>
      <c r="H664" s="3" t="n">
        <f aca="false">H$8*H$10*(1-EXP(-2*$C664/SQRT(PI()*H$9*H$10)))</f>
        <v>5.2146519451515E-005</v>
      </c>
    </row>
    <row r="665" customFormat="false" ht="15.75" hidden="false" customHeight="false" outlineLevel="0" collapsed="false">
      <c r="C665" s="0" t="n">
        <v>65.3</v>
      </c>
      <c r="D665" s="3" t="n">
        <f aca="false">D$8*D$10*(1-EXP(-2*$C665/SQRT(PI()*D$9*D$10)))</f>
        <v>0.000521465194516589</v>
      </c>
      <c r="E665" s="3" t="n">
        <f aca="false">E$8*E$10*(1-EXP(-2*$C665/SQRT(PI()*E$9*E$10)))</f>
        <v>0.00052144964510344</v>
      </c>
      <c r="F665" s="3" t="n">
        <f aca="false">F$8*F$10*(1-EXP(-2*$C665/SQRT(PI()*F$9*F$10)))</f>
        <v>0.000521136186627778</v>
      </c>
      <c r="G665" s="3" t="n">
        <f aca="false">G$8*G$10*(1-EXP(-2*$C665/SQRT(PI()*G$9*G$10)))</f>
        <v>0.00026072482255172</v>
      </c>
      <c r="H665" s="3" t="n">
        <f aca="false">H$8*H$10*(1-EXP(-2*$C665/SQRT(PI()*H$9*H$10)))</f>
        <v>5.21465194516589E-005</v>
      </c>
    </row>
    <row r="666" customFormat="false" ht="15.75" hidden="false" customHeight="false" outlineLevel="0" collapsed="false">
      <c r="C666" s="0" t="n">
        <v>65.4</v>
      </c>
      <c r="D666" s="3" t="n">
        <f aca="false">D$8*D$10*(1-EXP(-2*$C666/SQRT(PI()*D$9*D$10)))</f>
        <v>0.000521465194517978</v>
      </c>
      <c r="E666" s="3" t="n">
        <f aca="false">E$8*E$10*(1-EXP(-2*$C666/SQRT(PI()*E$9*E$10)))</f>
        <v>0.000521449891267477</v>
      </c>
      <c r="F666" s="3" t="n">
        <f aca="false">F$8*F$10*(1-EXP(-2*$C666/SQRT(PI()*F$9*F$10)))</f>
        <v>0.000521139878217965</v>
      </c>
      <c r="G666" s="3" t="n">
        <f aca="false">G$8*G$10*(1-EXP(-2*$C666/SQRT(PI()*G$9*G$10)))</f>
        <v>0.000260724945633739</v>
      </c>
      <c r="H666" s="3" t="n">
        <f aca="false">H$8*H$10*(1-EXP(-2*$C666/SQRT(PI()*H$9*H$10)))</f>
        <v>5.21465194517978E-005</v>
      </c>
    </row>
    <row r="667" customFormat="false" ht="15.75" hidden="false" customHeight="false" outlineLevel="0" collapsed="false">
      <c r="C667" s="0" t="n">
        <v>65.5</v>
      </c>
      <c r="D667" s="3" t="n">
        <f aca="false">D$8*D$10*(1-EXP(-2*$C667/SQRT(PI()*D$9*D$10)))</f>
        <v>0.000521465194519318</v>
      </c>
      <c r="E667" s="3" t="n">
        <f aca="false">E$8*E$10*(1-EXP(-2*$C667/SQRT(PI()*E$9*E$10)))</f>
        <v>0.000521450133534481</v>
      </c>
      <c r="F667" s="3" t="n">
        <f aca="false">F$8*F$10*(1-EXP(-2*$C667/SQRT(PI()*F$9*F$10)))</f>
        <v>0.000521143528387149</v>
      </c>
      <c r="G667" s="3" t="n">
        <f aca="false">G$8*G$10*(1-EXP(-2*$C667/SQRT(PI()*G$9*G$10)))</f>
        <v>0.000260725066767241</v>
      </c>
      <c r="H667" s="3" t="n">
        <f aca="false">H$8*H$10*(1-EXP(-2*$C667/SQRT(PI()*H$9*H$10)))</f>
        <v>5.21465194519318E-005</v>
      </c>
    </row>
    <row r="668" customFormat="false" ht="15.75" hidden="false" customHeight="false" outlineLevel="0" collapsed="false">
      <c r="C668" s="0" t="n">
        <v>65.6</v>
      </c>
      <c r="D668" s="3" t="n">
        <f aca="false">D$8*D$10*(1-EXP(-2*$C668/SQRT(PI()*D$9*D$10)))</f>
        <v>0.000521465194520611</v>
      </c>
      <c r="E668" s="3" t="n">
        <f aca="false">E$8*E$10*(1-EXP(-2*$C668/SQRT(PI()*E$9*E$10)))</f>
        <v>0.000521450371966146</v>
      </c>
      <c r="F668" s="3" t="n">
        <f aca="false">F$8*F$10*(1-EXP(-2*$C668/SQRT(PI()*F$9*F$10)))</f>
        <v>0.00052114713760009</v>
      </c>
      <c r="G668" s="3" t="n">
        <f aca="false">G$8*G$10*(1-EXP(-2*$C668/SQRT(PI()*G$9*G$10)))</f>
        <v>0.000260725185983073</v>
      </c>
      <c r="H668" s="3" t="n">
        <f aca="false">H$8*H$10*(1-EXP(-2*$C668/SQRT(PI()*H$9*H$10)))</f>
        <v>5.21465194520611E-005</v>
      </c>
    </row>
    <row r="669" customFormat="false" ht="15.75" hidden="false" customHeight="false" outlineLevel="0" collapsed="false">
      <c r="C669" s="0" t="n">
        <v>65.7</v>
      </c>
      <c r="D669" s="3" t="n">
        <f aca="false">D$8*D$10*(1-EXP(-2*$C669/SQRT(PI()*D$9*D$10)))</f>
        <v>0.000521465194521859</v>
      </c>
      <c r="E669" s="3" t="n">
        <f aca="false">E$8*E$10*(1-EXP(-2*$C669/SQRT(PI()*E$9*E$10)))</f>
        <v>0.00052145060662319</v>
      </c>
      <c r="F669" s="3" t="n">
        <f aca="false">F$8*F$10*(1-EXP(-2*$C669/SQRT(PI()*F$9*F$10)))</f>
        <v>0.000521150706316332</v>
      </c>
      <c r="G669" s="3" t="n">
        <f aca="false">G$8*G$10*(1-EXP(-2*$C669/SQRT(PI()*G$9*G$10)))</f>
        <v>0.000260725303311595</v>
      </c>
      <c r="H669" s="3" t="n">
        <f aca="false">H$8*H$10*(1-EXP(-2*$C669/SQRT(PI()*H$9*H$10)))</f>
        <v>5.21465194521859E-005</v>
      </c>
    </row>
    <row r="670" customFormat="false" ht="15.75" hidden="false" customHeight="false" outlineLevel="0" collapsed="false">
      <c r="C670" s="0" t="n">
        <v>65.8</v>
      </c>
      <c r="D670" s="3" t="n">
        <f aca="false">D$8*D$10*(1-EXP(-2*$C670/SQRT(PI()*D$9*D$10)))</f>
        <v>0.000521465194523063</v>
      </c>
      <c r="E670" s="3" t="n">
        <f aca="false">E$8*E$10*(1-EXP(-2*$C670/SQRT(PI()*E$9*E$10)))</f>
        <v>0.000521450837565367</v>
      </c>
      <c r="F670" s="3" t="n">
        <f aca="false">F$8*F$10*(1-EXP(-2*$C670/SQRT(PI()*F$9*F$10)))</f>
        <v>0.000521154234990262</v>
      </c>
      <c r="G670" s="3" t="n">
        <f aca="false">G$8*G$10*(1-EXP(-2*$C670/SQRT(PI()*G$9*G$10)))</f>
        <v>0.000260725418782684</v>
      </c>
      <c r="H670" s="3" t="n">
        <f aca="false">H$8*H$10*(1-EXP(-2*$C670/SQRT(PI()*H$9*H$10)))</f>
        <v>5.21465194523063E-005</v>
      </c>
    </row>
    <row r="671" customFormat="false" ht="15.75" hidden="false" customHeight="false" outlineLevel="0" collapsed="false">
      <c r="C671" s="0" t="n">
        <v>65.9</v>
      </c>
      <c r="D671" s="3" t="n">
        <f aca="false">D$8*D$10*(1-EXP(-2*$C671/SQRT(PI()*D$9*D$10)))</f>
        <v>0.000521465194524224</v>
      </c>
      <c r="E671" s="3" t="n">
        <f aca="false">E$8*E$10*(1-EXP(-2*$C671/SQRT(PI()*E$9*E$10)))</f>
        <v>0.00052145106485149</v>
      </c>
      <c r="F671" s="3" t="n">
        <f aca="false">F$8*F$10*(1-EXP(-2*$C671/SQRT(PI()*F$9*F$10)))</f>
        <v>0.000521157724071171</v>
      </c>
      <c r="G671" s="3" t="n">
        <f aca="false">G$8*G$10*(1-EXP(-2*$C671/SQRT(PI()*G$9*G$10)))</f>
        <v>0.000260725532425745</v>
      </c>
      <c r="H671" s="3" t="n">
        <f aca="false">H$8*H$10*(1-EXP(-2*$C671/SQRT(PI()*H$9*H$10)))</f>
        <v>5.21465194524224E-005</v>
      </c>
    </row>
    <row r="672" customFormat="false" ht="15.75" hidden="false" customHeight="false" outlineLevel="0" collapsed="false">
      <c r="C672" s="0" t="n">
        <v>66</v>
      </c>
      <c r="D672" s="3" t="n">
        <f aca="false">D$8*D$10*(1-EXP(-2*$C672/SQRT(PI()*D$9*D$10)))</f>
        <v>0.000521465194525345</v>
      </c>
      <c r="E672" s="3" t="n">
        <f aca="false">E$8*E$10*(1-EXP(-2*$C672/SQRT(PI()*E$9*E$10)))</f>
        <v>0.000521451288539437</v>
      </c>
      <c r="F672" s="3" t="n">
        <f aca="false">F$8*F$10*(1-EXP(-2*$C672/SQRT(PI()*F$9*F$10)))</f>
        <v>0.000521161174003307</v>
      </c>
      <c r="G672" s="3" t="n">
        <f aca="false">G$8*G$10*(1-EXP(-2*$C672/SQRT(PI()*G$9*G$10)))</f>
        <v>0.000260725644269718</v>
      </c>
      <c r="H672" s="3" t="n">
        <f aca="false">H$8*H$10*(1-EXP(-2*$C672/SQRT(PI()*H$9*H$10)))</f>
        <v>5.21465194525345E-005</v>
      </c>
    </row>
    <row r="673" customFormat="false" ht="15.75" hidden="false" customHeight="false" outlineLevel="0" collapsed="false">
      <c r="C673" s="0" t="n">
        <v>66.1</v>
      </c>
      <c r="D673" s="3" t="n">
        <f aca="false">D$8*D$10*(1-EXP(-2*$C673/SQRT(PI()*D$9*D$10)))</f>
        <v>0.000521465194526427</v>
      </c>
      <c r="E673" s="3" t="n">
        <f aca="false">E$8*E$10*(1-EXP(-2*$C673/SQRT(PI()*E$9*E$10)))</f>
        <v>0.00052145150868617</v>
      </c>
      <c r="F673" s="3" t="n">
        <f aca="false">F$8*F$10*(1-EXP(-2*$C673/SQRT(PI()*F$9*F$10)))</f>
        <v>0.000521164585225932</v>
      </c>
      <c r="G673" s="3" t="n">
        <f aca="false">G$8*G$10*(1-EXP(-2*$C673/SQRT(PI()*G$9*G$10)))</f>
        <v>0.000260725754343085</v>
      </c>
      <c r="H673" s="3" t="n">
        <f aca="false">H$8*H$10*(1-EXP(-2*$C673/SQRT(PI()*H$9*H$10)))</f>
        <v>5.21465194526427E-005</v>
      </c>
    </row>
    <row r="674" customFormat="false" ht="15.75" hidden="false" customHeight="false" outlineLevel="0" collapsed="false">
      <c r="C674" s="0" t="n">
        <v>66.2</v>
      </c>
      <c r="D674" s="3" t="n">
        <f aca="false">D$8*D$10*(1-EXP(-2*$C674/SQRT(PI()*D$9*D$10)))</f>
        <v>0.000521465194527471</v>
      </c>
      <c r="E674" s="3" t="n">
        <f aca="false">E$8*E$10*(1-EXP(-2*$C674/SQRT(PI()*E$9*E$10)))</f>
        <v>0.000521451725347751</v>
      </c>
      <c r="F674" s="3" t="n">
        <f aca="false">F$8*F$10*(1-EXP(-2*$C674/SQRT(PI()*F$9*F$10)))</f>
        <v>0.000521167958173383</v>
      </c>
      <c r="G674" s="3" t="n">
        <f aca="false">G$8*G$10*(1-EXP(-2*$C674/SQRT(PI()*G$9*G$10)))</f>
        <v>0.000260725862673875</v>
      </c>
      <c r="H674" s="3" t="n">
        <f aca="false">H$8*H$10*(1-EXP(-2*$C674/SQRT(PI()*H$9*H$10)))</f>
        <v>5.21465194527471E-005</v>
      </c>
    </row>
    <row r="675" customFormat="false" ht="15.75" hidden="false" customHeight="false" outlineLevel="0" collapsed="false">
      <c r="C675" s="0" t="n">
        <v>66.3</v>
      </c>
      <c r="D675" s="3" t="n">
        <f aca="false">D$8*D$10*(1-EXP(-2*$C675/SQRT(PI()*D$9*D$10)))</f>
        <v>0.000521465194528478</v>
      </c>
      <c r="E675" s="3" t="n">
        <f aca="false">E$8*E$10*(1-EXP(-2*$C675/SQRT(PI()*E$9*E$10)))</f>
        <v>0.000521451938579353</v>
      </c>
      <c r="F675" s="3" t="n">
        <f aca="false">F$8*F$10*(1-EXP(-2*$C675/SQRT(PI()*F$9*F$10)))</f>
        <v>0.000521171293275121</v>
      </c>
      <c r="G675" s="3" t="n">
        <f aca="false">G$8*G$10*(1-EXP(-2*$C675/SQRT(PI()*G$9*G$10)))</f>
        <v>0.000260725969289677</v>
      </c>
      <c r="H675" s="3" t="n">
        <f aca="false">H$8*H$10*(1-EXP(-2*$C675/SQRT(PI()*H$9*H$10)))</f>
        <v>5.21465194528478E-005</v>
      </c>
    </row>
    <row r="676" customFormat="false" ht="15.75" hidden="false" customHeight="false" outlineLevel="0" collapsed="false">
      <c r="C676" s="0" t="n">
        <v>66.4</v>
      </c>
      <c r="D676" s="3" t="n">
        <f aca="false">D$8*D$10*(1-EXP(-2*$C676/SQRT(PI()*D$9*D$10)))</f>
        <v>0.00052146519452945</v>
      </c>
      <c r="E676" s="3" t="n">
        <f aca="false">E$8*E$10*(1-EXP(-2*$C676/SQRT(PI()*E$9*E$10)))</f>
        <v>0.000521452148435277</v>
      </c>
      <c r="F676" s="3" t="n">
        <f aca="false">F$8*F$10*(1-EXP(-2*$C676/SQRT(PI()*F$9*F$10)))</f>
        <v>0.000521174590955788</v>
      </c>
      <c r="G676" s="3" t="n">
        <f aca="false">G$8*G$10*(1-EXP(-2*$C676/SQRT(PI()*G$9*G$10)))</f>
        <v>0.000260726074217639</v>
      </c>
      <c r="H676" s="3" t="n">
        <f aca="false">H$8*H$10*(1-EXP(-2*$C676/SQRT(PI()*H$9*H$10)))</f>
        <v>5.2146519452945E-005</v>
      </c>
    </row>
    <row r="677" customFormat="false" ht="15.75" hidden="false" customHeight="false" outlineLevel="0" collapsed="false">
      <c r="C677" s="0" t="n">
        <v>66.5</v>
      </c>
      <c r="D677" s="3" t="n">
        <f aca="false">D$8*D$10*(1-EXP(-2*$C677/SQRT(PI()*D$9*D$10)))</f>
        <v>0.000521465194530388</v>
      </c>
      <c r="E677" s="3" t="n">
        <f aca="false">E$8*E$10*(1-EXP(-2*$C677/SQRT(PI()*E$9*E$10)))</f>
        <v>0.000521452354968964</v>
      </c>
      <c r="F677" s="3" t="n">
        <f aca="false">F$8*F$10*(1-EXP(-2*$C677/SQRT(PI()*F$9*F$10)))</f>
        <v>0.000521177851635264</v>
      </c>
      <c r="G677" s="3" t="n">
        <f aca="false">G$8*G$10*(1-EXP(-2*$C677/SQRT(PI()*G$9*G$10)))</f>
        <v>0.000260726177484482</v>
      </c>
      <c r="H677" s="3" t="n">
        <f aca="false">H$8*H$10*(1-EXP(-2*$C677/SQRT(PI()*H$9*H$10)))</f>
        <v>5.21465194530388E-005</v>
      </c>
    </row>
    <row r="678" customFormat="false" ht="15.75" hidden="false" customHeight="false" outlineLevel="0" collapsed="false">
      <c r="C678" s="0" t="n">
        <v>66.6</v>
      </c>
      <c r="D678" s="3" t="n">
        <f aca="false">D$8*D$10*(1-EXP(-2*$C678/SQRT(PI()*D$9*D$10)))</f>
        <v>0.000521465194531293</v>
      </c>
      <c r="E678" s="3" t="n">
        <f aca="false">E$8*E$10*(1-EXP(-2*$C678/SQRT(PI()*E$9*E$10)))</f>
        <v>0.000521452558233006</v>
      </c>
      <c r="F678" s="3" t="n">
        <f aca="false">F$8*F$10*(1-EXP(-2*$C678/SQRT(PI()*F$9*F$10)))</f>
        <v>0.000521181075728714</v>
      </c>
      <c r="G678" s="3" t="n">
        <f aca="false">G$8*G$10*(1-EXP(-2*$C678/SQRT(PI()*G$9*G$10)))</f>
        <v>0.000260726279116503</v>
      </c>
      <c r="H678" s="3" t="n">
        <f aca="false">H$8*H$10*(1-EXP(-2*$C678/SQRT(PI()*H$9*H$10)))</f>
        <v>5.21465194531293E-005</v>
      </c>
    </row>
    <row r="679" customFormat="false" ht="15.75" hidden="false" customHeight="false" outlineLevel="0" collapsed="false">
      <c r="C679" s="0" t="n">
        <v>66.7</v>
      </c>
      <c r="D679" s="3" t="n">
        <f aca="false">D$8*D$10*(1-EXP(-2*$C679/SQRT(PI()*D$9*D$10)))</f>
        <v>0.000521465194532166</v>
      </c>
      <c r="E679" s="3" t="n">
        <f aca="false">E$8*E$10*(1-EXP(-2*$C679/SQRT(PI()*E$9*E$10)))</f>
        <v>0.000521452758279168</v>
      </c>
      <c r="F679" s="3" t="n">
        <f aca="false">F$8*F$10*(1-EXP(-2*$C679/SQRT(PI()*F$9*F$10)))</f>
        <v>0.000521184263646647</v>
      </c>
      <c r="G679" s="3" t="n">
        <f aca="false">G$8*G$10*(1-EXP(-2*$C679/SQRT(PI()*G$9*G$10)))</f>
        <v>0.000260726379139584</v>
      </c>
      <c r="H679" s="3" t="n">
        <f aca="false">H$8*H$10*(1-EXP(-2*$C679/SQRT(PI()*H$9*H$10)))</f>
        <v>5.21465194532166E-005</v>
      </c>
    </row>
    <row r="680" customFormat="false" ht="15.75" hidden="false" customHeight="false" outlineLevel="0" collapsed="false">
      <c r="C680" s="0" t="n">
        <v>66.8</v>
      </c>
      <c r="D680" s="3" t="n">
        <f aca="false">D$8*D$10*(1-EXP(-2*$C680/SQRT(PI()*D$9*D$10)))</f>
        <v>0.000521465194533009</v>
      </c>
      <c r="E680" s="3" t="n">
        <f aca="false">E$8*E$10*(1-EXP(-2*$C680/SQRT(PI()*E$9*E$10)))</f>
        <v>0.00052145295515839</v>
      </c>
      <c r="F680" s="3" t="n">
        <f aca="false">F$8*F$10*(1-EXP(-2*$C680/SQRT(PI()*F$9*F$10)))</f>
        <v>0.000521187415794967</v>
      </c>
      <c r="G680" s="3" t="n">
        <f aca="false">G$8*G$10*(1-EXP(-2*$C680/SQRT(PI()*G$9*G$10)))</f>
        <v>0.000260726477579195</v>
      </c>
      <c r="H680" s="3" t="n">
        <f aca="false">H$8*H$10*(1-EXP(-2*$C680/SQRT(PI()*H$9*H$10)))</f>
        <v>5.21465194533009E-005</v>
      </c>
    </row>
    <row r="681" customFormat="false" ht="15.75" hidden="false" customHeight="false" outlineLevel="0" collapsed="false">
      <c r="C681" s="0" t="n">
        <v>66.9</v>
      </c>
      <c r="D681" s="3" t="n">
        <f aca="false">D$8*D$10*(1-EXP(-2*$C681/SQRT(PI()*D$9*D$10)))</f>
        <v>0.000521465194533822</v>
      </c>
      <c r="E681" s="3" t="n">
        <f aca="false">E$8*E$10*(1-EXP(-2*$C681/SQRT(PI()*E$9*E$10)))</f>
        <v>0.000521453148920809</v>
      </c>
      <c r="F681" s="3" t="n">
        <f aca="false">F$8*F$10*(1-EXP(-2*$C681/SQRT(PI()*F$9*F$10)))</f>
        <v>0.000521190532575021</v>
      </c>
      <c r="G681" s="3" t="n">
        <f aca="false">G$8*G$10*(1-EXP(-2*$C681/SQRT(PI()*G$9*G$10)))</f>
        <v>0.000260726574460404</v>
      </c>
      <c r="H681" s="3" t="n">
        <f aca="false">H$8*H$10*(1-EXP(-2*$C681/SQRT(PI()*H$9*H$10)))</f>
        <v>5.21465194533822E-005</v>
      </c>
    </row>
    <row r="682" customFormat="false" ht="15.75" hidden="false" customHeight="false" outlineLevel="0" collapsed="false">
      <c r="C682" s="0" t="n">
        <v>67</v>
      </c>
      <c r="D682" s="3" t="n">
        <f aca="false">D$8*D$10*(1-EXP(-2*$C682/SQRT(PI()*D$9*D$10)))</f>
        <v>0.000521465194534607</v>
      </c>
      <c r="E682" s="3" t="n">
        <f aca="false">E$8*E$10*(1-EXP(-2*$C682/SQRT(PI()*E$9*E$10)))</f>
        <v>0.000521453339615766</v>
      </c>
      <c r="F682" s="3" t="n">
        <f aca="false">F$8*F$10*(1-EXP(-2*$C682/SQRT(PI()*F$9*F$10)))</f>
        <v>0.000521193614383654</v>
      </c>
      <c r="G682" s="3" t="n">
        <f aca="false">G$8*G$10*(1-EXP(-2*$C682/SQRT(PI()*G$9*G$10)))</f>
        <v>0.000260726669807883</v>
      </c>
      <c r="H682" s="3" t="n">
        <f aca="false">H$8*H$10*(1-EXP(-2*$C682/SQRT(PI()*H$9*H$10)))</f>
        <v>5.21465194534607E-005</v>
      </c>
    </row>
    <row r="683" customFormat="false" ht="15.75" hidden="false" customHeight="false" outlineLevel="0" collapsed="false">
      <c r="C683" s="0" t="n">
        <v>67.1</v>
      </c>
      <c r="D683" s="3" t="n">
        <f aca="false">D$8*D$10*(1-EXP(-2*$C683/SQRT(PI()*D$9*D$10)))</f>
        <v>0.000521465194535364</v>
      </c>
      <c r="E683" s="3" t="n">
        <f aca="false">E$8*E$10*(1-EXP(-2*$C683/SQRT(PI()*E$9*E$10)))</f>
        <v>0.000521453527291824</v>
      </c>
      <c r="F683" s="3" t="n">
        <f aca="false">F$8*F$10*(1-EXP(-2*$C683/SQRT(PI()*F$9*F$10)))</f>
        <v>0.000521196661613259</v>
      </c>
      <c r="G683" s="3" t="n">
        <f aca="false">G$8*G$10*(1-EXP(-2*$C683/SQRT(PI()*G$9*G$10)))</f>
        <v>0.000260726763645912</v>
      </c>
      <c r="H683" s="3" t="n">
        <f aca="false">H$8*H$10*(1-EXP(-2*$C683/SQRT(PI()*H$9*H$10)))</f>
        <v>5.21465194535364E-005</v>
      </c>
    </row>
    <row r="684" customFormat="false" ht="15.75" hidden="false" customHeight="false" outlineLevel="0" collapsed="false">
      <c r="C684" s="0" t="n">
        <v>67.2</v>
      </c>
      <c r="D684" s="3" t="n">
        <f aca="false">D$8*D$10*(1-EXP(-2*$C684/SQRT(PI()*D$9*D$10)))</f>
        <v>0.000521465194536094</v>
      </c>
      <c r="E684" s="3" t="n">
        <f aca="false">E$8*E$10*(1-EXP(-2*$C684/SQRT(PI()*E$9*E$10)))</f>
        <v>0.000521453711996775</v>
      </c>
      <c r="F684" s="3" t="n">
        <f aca="false">F$8*F$10*(1-EXP(-2*$C684/SQRT(PI()*F$9*F$10)))</f>
        <v>0.000521199674651825</v>
      </c>
      <c r="G684" s="3" t="n">
        <f aca="false">G$8*G$10*(1-EXP(-2*$C684/SQRT(PI()*G$9*G$10)))</f>
        <v>0.000260726855998387</v>
      </c>
      <c r="H684" s="3" t="n">
        <f aca="false">H$8*H$10*(1-EXP(-2*$C684/SQRT(PI()*H$9*H$10)))</f>
        <v>5.21465194536094E-005</v>
      </c>
    </row>
    <row r="685" customFormat="false" ht="15.75" hidden="false" customHeight="false" outlineLevel="0" collapsed="false">
      <c r="C685" s="0" t="n">
        <v>67.3</v>
      </c>
      <c r="D685" s="3" t="n">
        <f aca="false">D$8*D$10*(1-EXP(-2*$C685/SQRT(PI()*D$9*D$10)))</f>
        <v>0.000521465194536799</v>
      </c>
      <c r="E685" s="3" t="n">
        <f aca="false">E$8*E$10*(1-EXP(-2*$C685/SQRT(PI()*E$9*E$10)))</f>
        <v>0.000521453893777654</v>
      </c>
      <c r="F685" s="3" t="n">
        <f aca="false">F$8*F$10*(1-EXP(-2*$C685/SQRT(PI()*F$9*F$10)))</f>
        <v>0.000521202653882988</v>
      </c>
      <c r="G685" s="3" t="n">
        <f aca="false">G$8*G$10*(1-EXP(-2*$C685/SQRT(PI()*G$9*G$10)))</f>
        <v>0.000260726946888827</v>
      </c>
      <c r="H685" s="3" t="n">
        <f aca="false">H$8*H$10*(1-EXP(-2*$C685/SQRT(PI()*H$9*H$10)))</f>
        <v>5.21465194536799E-005</v>
      </c>
    </row>
    <row r="686" customFormat="false" ht="15.75" hidden="false" customHeight="false" outlineLevel="0" collapsed="false">
      <c r="C686" s="0" t="n">
        <v>67.4</v>
      </c>
      <c r="D686" s="3" t="n">
        <f aca="false">D$8*D$10*(1-EXP(-2*$C686/SQRT(PI()*D$9*D$10)))</f>
        <v>0.00052146519453748</v>
      </c>
      <c r="E686" s="3" t="n">
        <f aca="false">E$8*E$10*(1-EXP(-2*$C686/SQRT(PI()*E$9*E$10)))</f>
        <v>0.000521454072680752</v>
      </c>
      <c r="F686" s="3" t="n">
        <f aca="false">F$8*F$10*(1-EXP(-2*$C686/SQRT(PI()*F$9*F$10)))</f>
        <v>0.00052120559968608</v>
      </c>
      <c r="G686" s="3" t="n">
        <f aca="false">G$8*G$10*(1-EXP(-2*$C686/SQRT(PI()*G$9*G$10)))</f>
        <v>0.000260727036340376</v>
      </c>
      <c r="H686" s="3" t="n">
        <f aca="false">H$8*H$10*(1-EXP(-2*$C686/SQRT(PI()*H$9*H$10)))</f>
        <v>5.2146519453748E-005</v>
      </c>
    </row>
    <row r="687" customFormat="false" ht="15.75" hidden="false" customHeight="false" outlineLevel="0" collapsed="false">
      <c r="C687" s="0" t="n">
        <v>67.5</v>
      </c>
      <c r="D687" s="3" t="n">
        <f aca="false">D$8*D$10*(1-EXP(-2*$C687/SQRT(PI()*D$9*D$10)))</f>
        <v>0.000521465194538136</v>
      </c>
      <c r="E687" s="3" t="n">
        <f aca="false">E$8*E$10*(1-EXP(-2*$C687/SQRT(PI()*E$9*E$10)))</f>
        <v>0.000521454248751627</v>
      </c>
      <c r="F687" s="3" t="n">
        <f aca="false">F$8*F$10*(1-EXP(-2*$C687/SQRT(PI()*F$9*F$10)))</f>
        <v>0.000521208512436175</v>
      </c>
      <c r="G687" s="3" t="n">
        <f aca="false">G$8*G$10*(1-EXP(-2*$C687/SQRT(PI()*G$9*G$10)))</f>
        <v>0.000260727124375814</v>
      </c>
      <c r="H687" s="3" t="n">
        <f aca="false">H$8*H$10*(1-EXP(-2*$C687/SQRT(PI()*H$9*H$10)))</f>
        <v>5.21465194538136E-005</v>
      </c>
    </row>
    <row r="688" customFormat="false" ht="15.75" hidden="false" customHeight="false" outlineLevel="0" collapsed="false">
      <c r="C688" s="0" t="n">
        <v>67.6</v>
      </c>
      <c r="D688" s="3" t="n">
        <f aca="false">D$8*D$10*(1-EXP(-2*$C688/SQRT(PI()*D$9*D$10)))</f>
        <v>0.000521465194538769</v>
      </c>
      <c r="E688" s="3" t="n">
        <f aca="false">E$8*E$10*(1-EXP(-2*$C688/SQRT(PI()*E$9*E$10)))</f>
        <v>0.000521454422035117</v>
      </c>
      <c r="F688" s="3" t="n">
        <f aca="false">F$8*F$10*(1-EXP(-2*$C688/SQRT(PI()*F$9*F$10)))</f>
        <v>0.000521211392504142</v>
      </c>
      <c r="G688" s="3" t="n">
        <f aca="false">G$8*G$10*(1-EXP(-2*$C688/SQRT(PI()*G$9*G$10)))</f>
        <v>0.000260727211017559</v>
      </c>
      <c r="H688" s="3" t="n">
        <f aca="false">H$8*H$10*(1-EXP(-2*$C688/SQRT(PI()*H$9*H$10)))</f>
        <v>5.21465194538769E-005</v>
      </c>
    </row>
    <row r="689" customFormat="false" ht="15.75" hidden="false" customHeight="false" outlineLevel="0" collapsed="false">
      <c r="C689" s="0" t="n">
        <v>67.7</v>
      </c>
      <c r="D689" s="3" t="n">
        <f aca="false">D$8*D$10*(1-EXP(-2*$C689/SQRT(PI()*D$9*D$10)))</f>
        <v>0.000521465194539381</v>
      </c>
      <c r="E689" s="3" t="n">
        <f aca="false">E$8*E$10*(1-EXP(-2*$C689/SQRT(PI()*E$9*E$10)))</f>
        <v>0.000521454592575349</v>
      </c>
      <c r="F689" s="3" t="n">
        <f aca="false">F$8*F$10*(1-EXP(-2*$C689/SQRT(PI()*F$9*F$10)))</f>
        <v>0.000521214240256684</v>
      </c>
      <c r="G689" s="3" t="n">
        <f aca="false">G$8*G$10*(1-EXP(-2*$C689/SQRT(PI()*G$9*G$10)))</f>
        <v>0.000260727296287675</v>
      </c>
      <c r="H689" s="3" t="n">
        <f aca="false">H$8*H$10*(1-EXP(-2*$C689/SQRT(PI()*H$9*H$10)))</f>
        <v>5.21465194539381E-005</v>
      </c>
    </row>
    <row r="690" customFormat="false" ht="15.75" hidden="false" customHeight="false" outlineLevel="0" collapsed="false">
      <c r="C690" s="0" t="n">
        <v>67.8</v>
      </c>
      <c r="D690" s="3" t="n">
        <f aca="false">D$8*D$10*(1-EXP(-2*$C690/SQRT(PI()*D$9*D$10)))</f>
        <v>0.00052146519453997</v>
      </c>
      <c r="E690" s="3" t="n">
        <f aca="false">E$8*E$10*(1-EXP(-2*$C690/SQRT(PI()*E$9*E$10)))</f>
        <v>0.000521454760415752</v>
      </c>
      <c r="F690" s="3" t="n">
        <f aca="false">F$8*F$10*(1-EXP(-2*$C690/SQRT(PI()*F$9*F$10)))</f>
        <v>0.000521217056056394</v>
      </c>
      <c r="G690" s="3" t="n">
        <f aca="false">G$8*G$10*(1-EXP(-2*$C690/SQRT(PI()*G$9*G$10)))</f>
        <v>0.000260727380207876</v>
      </c>
      <c r="H690" s="3" t="n">
        <f aca="false">H$8*H$10*(1-EXP(-2*$C690/SQRT(PI()*H$9*H$10)))</f>
        <v>5.2146519453997E-005</v>
      </c>
    </row>
    <row r="691" customFormat="false" ht="15.75" hidden="false" customHeight="false" outlineLevel="0" collapsed="false">
      <c r="C691" s="0" t="n">
        <v>67.9</v>
      </c>
      <c r="D691" s="3" t="n">
        <f aca="false">D$8*D$10*(1-EXP(-2*$C691/SQRT(PI()*D$9*D$10)))</f>
        <v>0.00052146519454054</v>
      </c>
      <c r="E691" s="3" t="n">
        <f aca="false">E$8*E$10*(1-EXP(-2*$C691/SQRT(PI()*E$9*E$10)))</f>
        <v>0.000521454925599066</v>
      </c>
      <c r="F691" s="3" t="n">
        <f aca="false">F$8*F$10*(1-EXP(-2*$C691/SQRT(PI()*F$9*F$10)))</f>
        <v>0.000521219840261793</v>
      </c>
      <c r="G691" s="3" t="n">
        <f aca="false">G$8*G$10*(1-EXP(-2*$C691/SQRT(PI()*G$9*G$10)))</f>
        <v>0.000260727462799533</v>
      </c>
      <c r="H691" s="3" t="n">
        <f aca="false">H$8*H$10*(1-EXP(-2*$C691/SQRT(PI()*H$9*H$10)))</f>
        <v>5.2146519454054E-005</v>
      </c>
    </row>
    <row r="692" customFormat="false" ht="15.75" hidden="false" customHeight="false" outlineLevel="0" collapsed="false">
      <c r="C692" s="0" t="n">
        <v>68</v>
      </c>
      <c r="D692" s="3" t="n">
        <f aca="false">D$8*D$10*(1-EXP(-2*$C692/SQRT(PI()*D$9*D$10)))</f>
        <v>0.000521465194541089</v>
      </c>
      <c r="E692" s="3" t="n">
        <f aca="false">E$8*E$10*(1-EXP(-2*$C692/SQRT(PI()*E$9*E$10)))</f>
        <v>0.000521455088167356</v>
      </c>
      <c r="F692" s="3" t="n">
        <f aca="false">F$8*F$10*(1-EXP(-2*$C692/SQRT(PI()*F$9*F$10)))</f>
        <v>0.000521222593227382</v>
      </c>
      <c r="G692" s="3" t="n">
        <f aca="false">G$8*G$10*(1-EXP(-2*$C692/SQRT(PI()*G$9*G$10)))</f>
        <v>0.000260727544083678</v>
      </c>
      <c r="H692" s="3" t="n">
        <f aca="false">H$8*H$10*(1-EXP(-2*$C692/SQRT(PI()*H$9*H$10)))</f>
        <v>5.21465194541089E-005</v>
      </c>
    </row>
    <row r="693" customFormat="false" ht="15.75" hidden="false" customHeight="false" outlineLevel="0" collapsed="false">
      <c r="C693" s="0" t="n">
        <v>68.1</v>
      </c>
      <c r="D693" s="3" t="n">
        <f aca="false">D$8*D$10*(1-EXP(-2*$C693/SQRT(PI()*D$9*D$10)))</f>
        <v>0.000521465194541619</v>
      </c>
      <c r="E693" s="3" t="n">
        <f aca="false">E$8*E$10*(1-EXP(-2*$C693/SQRT(PI()*E$9*E$10)))</f>
        <v>0.000521455248162021</v>
      </c>
      <c r="F693" s="3" t="n">
        <f aca="false">F$8*F$10*(1-EXP(-2*$C693/SQRT(PI()*F$9*F$10)))</f>
        <v>0.000521225315303682</v>
      </c>
      <c r="G693" s="3" t="n">
        <f aca="false">G$8*G$10*(1-EXP(-2*$C693/SQRT(PI()*G$9*G$10)))</f>
        <v>0.00026072762408101</v>
      </c>
      <c r="H693" s="3" t="n">
        <f aca="false">H$8*H$10*(1-EXP(-2*$C693/SQRT(PI()*H$9*H$10)))</f>
        <v>5.21465194541619E-005</v>
      </c>
    </row>
    <row r="694" customFormat="false" ht="15.75" hidden="false" customHeight="false" outlineLevel="0" collapsed="false">
      <c r="C694" s="0" t="n">
        <v>68.2</v>
      </c>
      <c r="D694" s="3" t="n">
        <f aca="false">D$8*D$10*(1-EXP(-2*$C694/SQRT(PI()*D$9*D$10)))</f>
        <v>0.00052146519454213</v>
      </c>
      <c r="E694" s="3" t="n">
        <f aca="false">E$8*E$10*(1-EXP(-2*$C694/SQRT(PI()*E$9*E$10)))</f>
        <v>0.000521455405623803</v>
      </c>
      <c r="F694" s="3" t="n">
        <f aca="false">F$8*F$10*(1-EXP(-2*$C694/SQRT(PI()*F$9*F$10)))</f>
        <v>0.000521228006837284</v>
      </c>
      <c r="G694" s="3" t="n">
        <f aca="false">G$8*G$10*(1-EXP(-2*$C694/SQRT(PI()*G$9*G$10)))</f>
        <v>0.000260727702811901</v>
      </c>
      <c r="H694" s="3" t="n">
        <f aca="false">H$8*H$10*(1-EXP(-2*$C694/SQRT(PI()*H$9*H$10)))</f>
        <v>5.2146519454213E-005</v>
      </c>
    </row>
    <row r="695" customFormat="false" ht="15.75" hidden="false" customHeight="false" outlineLevel="0" collapsed="false">
      <c r="C695" s="0" t="n">
        <v>68.3</v>
      </c>
      <c r="D695" s="3" t="n">
        <f aca="false">D$8*D$10*(1-EXP(-2*$C695/SQRT(PI()*D$9*D$10)))</f>
        <v>0.000521465194542623</v>
      </c>
      <c r="E695" s="3" t="n">
        <f aca="false">E$8*E$10*(1-EXP(-2*$C695/SQRT(PI()*E$9*E$10)))</f>
        <v>0.000521455560592801</v>
      </c>
      <c r="F695" s="3" t="n">
        <f aca="false">F$8*F$10*(1-EXP(-2*$C695/SQRT(PI()*F$9*F$10)))</f>
        <v>0.000521230668170886</v>
      </c>
      <c r="G695" s="3" t="n">
        <f aca="false">G$8*G$10*(1-EXP(-2*$C695/SQRT(PI()*G$9*G$10)))</f>
        <v>0.000260727780296401</v>
      </c>
      <c r="H695" s="3" t="n">
        <f aca="false">H$8*H$10*(1-EXP(-2*$C695/SQRT(PI()*H$9*H$10)))</f>
        <v>5.21465194542623E-005</v>
      </c>
    </row>
    <row r="696" customFormat="false" ht="15.75" hidden="false" customHeight="false" outlineLevel="0" collapsed="false">
      <c r="C696" s="0" t="n">
        <v>68.4</v>
      </c>
      <c r="D696" s="3" t="n">
        <f aca="false">D$8*D$10*(1-EXP(-2*$C696/SQRT(PI()*D$9*D$10)))</f>
        <v>0.000521465194543099</v>
      </c>
      <c r="E696" s="3" t="n">
        <f aca="false">E$8*E$10*(1-EXP(-2*$C696/SQRT(PI()*E$9*E$10)))</f>
        <v>0.000521455713108479</v>
      </c>
      <c r="F696" s="3" t="n">
        <f aca="false">F$8*F$10*(1-EXP(-2*$C696/SQRT(PI()*F$9*F$10)))</f>
        <v>0.000521233299643346</v>
      </c>
      <c r="G696" s="3" t="n">
        <f aca="false">G$8*G$10*(1-EXP(-2*$C696/SQRT(PI()*G$9*G$10)))</f>
        <v>0.00026072785655424</v>
      </c>
      <c r="H696" s="3" t="n">
        <f aca="false">H$8*H$10*(1-EXP(-2*$C696/SQRT(PI()*H$9*H$10)))</f>
        <v>5.21465194543099E-005</v>
      </c>
    </row>
    <row r="697" customFormat="false" ht="15.75" hidden="false" customHeight="false" outlineLevel="0" collapsed="false">
      <c r="C697" s="0" t="n">
        <v>68.5</v>
      </c>
      <c r="D697" s="3" t="n">
        <f aca="false">D$8*D$10*(1-EXP(-2*$C697/SQRT(PI()*D$9*D$10)))</f>
        <v>0.000521465194543559</v>
      </c>
      <c r="E697" s="3" t="n">
        <f aca="false">E$8*E$10*(1-EXP(-2*$C697/SQRT(PI()*E$9*E$10)))</f>
        <v>0.000521455863209675</v>
      </c>
      <c r="F697" s="3" t="n">
        <f aca="false">F$8*F$10*(1-EXP(-2*$C697/SQRT(PI()*F$9*F$10)))</f>
        <v>0.000521235901589714</v>
      </c>
      <c r="G697" s="3" t="n">
        <f aca="false">G$8*G$10*(1-EXP(-2*$C697/SQRT(PI()*G$9*G$10)))</f>
        <v>0.000260727931604837</v>
      </c>
      <c r="H697" s="3" t="n">
        <f aca="false">H$8*H$10*(1-EXP(-2*$C697/SQRT(PI()*H$9*H$10)))</f>
        <v>5.21465194543559E-005</v>
      </c>
    </row>
    <row r="698" customFormat="false" ht="15.75" hidden="false" customHeight="false" outlineLevel="0" collapsed="false">
      <c r="C698" s="0" t="n">
        <v>68.6</v>
      </c>
      <c r="D698" s="3" t="n">
        <f aca="false">D$8*D$10*(1-EXP(-2*$C698/SQRT(PI()*D$9*D$10)))</f>
        <v>0.000521465194544002</v>
      </c>
      <c r="E698" s="3" t="n">
        <f aca="false">E$8*E$10*(1-EXP(-2*$C698/SQRT(PI()*E$9*E$10)))</f>
        <v>0.000521456010934612</v>
      </c>
      <c r="F698" s="3" t="n">
        <f aca="false">F$8*F$10*(1-EXP(-2*$C698/SQRT(PI()*F$9*F$10)))</f>
        <v>0.000521238474341285</v>
      </c>
      <c r="G698" s="3" t="n">
        <f aca="false">G$8*G$10*(1-EXP(-2*$C698/SQRT(PI()*G$9*G$10)))</f>
        <v>0.000260728005467306</v>
      </c>
      <c r="H698" s="3" t="n">
        <f aca="false">H$8*H$10*(1-EXP(-2*$C698/SQRT(PI()*H$9*H$10)))</f>
        <v>5.21465194544002E-005</v>
      </c>
    </row>
    <row r="699" customFormat="false" ht="15.75" hidden="false" customHeight="false" outlineLevel="0" collapsed="false">
      <c r="C699" s="0" t="n">
        <v>68.7</v>
      </c>
      <c r="D699" s="3" t="n">
        <f aca="false">D$8*D$10*(1-EXP(-2*$C699/SQRT(PI()*D$9*D$10)))</f>
        <v>0.00052146519454443</v>
      </c>
      <c r="E699" s="3" t="n">
        <f aca="false">E$8*E$10*(1-EXP(-2*$C699/SQRT(PI()*E$9*E$10)))</f>
        <v>0.00052145615632091</v>
      </c>
      <c r="F699" s="3" t="n">
        <f aca="false">F$8*F$10*(1-EXP(-2*$C699/SQRT(PI()*F$9*F$10)))</f>
        <v>0.000521241018225636</v>
      </c>
      <c r="G699" s="3" t="n">
        <f aca="false">G$8*G$10*(1-EXP(-2*$C699/SQRT(PI()*G$9*G$10)))</f>
        <v>0.000260728078160455</v>
      </c>
      <c r="H699" s="3" t="n">
        <f aca="false">H$8*H$10*(1-EXP(-2*$C699/SQRT(PI()*H$9*H$10)))</f>
        <v>5.2146519454443E-005</v>
      </c>
    </row>
    <row r="700" customFormat="false" ht="15.75" hidden="false" customHeight="false" outlineLevel="0" collapsed="false">
      <c r="C700" s="0" t="n">
        <v>68.8</v>
      </c>
      <c r="D700" s="3" t="n">
        <f aca="false">D$8*D$10*(1-EXP(-2*$C700/SQRT(PI()*D$9*D$10)))</f>
        <v>0.000521465194544843</v>
      </c>
      <c r="E700" s="3" t="n">
        <f aca="false">E$8*E$10*(1-EXP(-2*$C700/SQRT(PI()*E$9*E$10)))</f>
        <v>0.000521456299405591</v>
      </c>
      <c r="F700" s="3" t="n">
        <f aca="false">F$8*F$10*(1-EXP(-2*$C700/SQRT(PI()*F$9*F$10)))</f>
        <v>0.000521243533566667</v>
      </c>
      <c r="G700" s="3" t="n">
        <f aca="false">G$8*G$10*(1-EXP(-2*$C700/SQRT(PI()*G$9*G$10)))</f>
        <v>0.000260728149702795</v>
      </c>
      <c r="H700" s="3" t="n">
        <f aca="false">H$8*H$10*(1-EXP(-2*$C700/SQRT(PI()*H$9*H$10)))</f>
        <v>5.21465194544843E-005</v>
      </c>
    </row>
    <row r="701" customFormat="false" ht="15.75" hidden="false" customHeight="false" outlineLevel="0" collapsed="false">
      <c r="C701" s="0" t="n">
        <v>68.9</v>
      </c>
      <c r="D701" s="3" t="n">
        <f aca="false">D$8*D$10*(1-EXP(-2*$C701/SQRT(PI()*D$9*D$10)))</f>
        <v>0.000521465194545241</v>
      </c>
      <c r="E701" s="3" t="n">
        <f aca="false">E$8*E$10*(1-EXP(-2*$C701/SQRT(PI()*E$9*E$10)))</f>
        <v>0.000521456440225092</v>
      </c>
      <c r="F701" s="3" t="n">
        <f aca="false">F$8*F$10*(1-EXP(-2*$C701/SQRT(PI()*F$9*F$10)))</f>
        <v>0.000521246020684645</v>
      </c>
      <c r="G701" s="3" t="n">
        <f aca="false">G$8*G$10*(1-EXP(-2*$C701/SQRT(PI()*G$9*G$10)))</f>
        <v>0.000260728220112546</v>
      </c>
      <c r="H701" s="3" t="n">
        <f aca="false">H$8*H$10*(1-EXP(-2*$C701/SQRT(PI()*H$9*H$10)))</f>
        <v>5.21465194545241E-005</v>
      </c>
    </row>
    <row r="702" customFormat="false" ht="15.75" hidden="false" customHeight="false" outlineLevel="0" collapsed="false">
      <c r="C702" s="0" t="n">
        <v>69</v>
      </c>
      <c r="D702" s="3" t="n">
        <f aca="false">D$8*D$10*(1-EXP(-2*$C702/SQRT(PI()*D$9*D$10)))</f>
        <v>0.000521465194545625</v>
      </c>
      <c r="E702" s="3" t="n">
        <f aca="false">E$8*E$10*(1-EXP(-2*$C702/SQRT(PI()*E$9*E$10)))</f>
        <v>0.000521456578815274</v>
      </c>
      <c r="F702" s="3" t="n">
        <f aca="false">F$8*F$10*(1-EXP(-2*$C702/SQRT(PI()*F$9*F$10)))</f>
        <v>0.000521248479896243</v>
      </c>
      <c r="G702" s="3" t="n">
        <f aca="false">G$8*G$10*(1-EXP(-2*$C702/SQRT(PI()*G$9*G$10)))</f>
        <v>0.000260728289407637</v>
      </c>
      <c r="H702" s="3" t="n">
        <f aca="false">H$8*H$10*(1-EXP(-2*$C702/SQRT(PI()*H$9*H$10)))</f>
        <v>5.21465194545625E-005</v>
      </c>
    </row>
    <row r="703" customFormat="false" ht="15.75" hidden="false" customHeight="false" outlineLevel="0" collapsed="false">
      <c r="C703" s="0" t="n">
        <v>69.1</v>
      </c>
      <c r="D703" s="3" t="n">
        <f aca="false">D$8*D$10*(1-EXP(-2*$C703/SQRT(PI()*D$9*D$10)))</f>
        <v>0.000521465194545996</v>
      </c>
      <c r="E703" s="3" t="n">
        <f aca="false">E$8*E$10*(1-EXP(-2*$C703/SQRT(PI()*E$9*E$10)))</f>
        <v>0.000521456715211429</v>
      </c>
      <c r="F703" s="3" t="n">
        <f aca="false">F$8*F$10*(1-EXP(-2*$C703/SQRT(PI()*F$9*F$10)))</f>
        <v>0.00052125091151458</v>
      </c>
      <c r="G703" s="3" t="n">
        <f aca="false">G$8*G$10*(1-EXP(-2*$C703/SQRT(PI()*G$9*G$10)))</f>
        <v>0.000260728357605715</v>
      </c>
      <c r="H703" s="3" t="n">
        <f aca="false">H$8*H$10*(1-EXP(-2*$C703/SQRT(PI()*H$9*H$10)))</f>
        <v>5.21465194545996E-005</v>
      </c>
    </row>
    <row r="704" customFormat="false" ht="15.75" hidden="false" customHeight="false" outlineLevel="0" collapsed="false">
      <c r="C704" s="0" t="n">
        <v>69.2</v>
      </c>
      <c r="D704" s="3" t="n">
        <f aca="false">D$8*D$10*(1-EXP(-2*$C704/SQRT(PI()*D$9*D$10)))</f>
        <v>0.000521465194546354</v>
      </c>
      <c r="E704" s="3" t="n">
        <f aca="false">E$8*E$10*(1-EXP(-2*$C704/SQRT(PI()*E$9*E$10)))</f>
        <v>0.000521456849448291</v>
      </c>
      <c r="F704" s="3" t="n">
        <f aca="false">F$8*F$10*(1-EXP(-2*$C704/SQRT(PI()*F$9*F$10)))</f>
        <v>0.000521253315849264</v>
      </c>
      <c r="G704" s="3" t="n">
        <f aca="false">G$8*G$10*(1-EXP(-2*$C704/SQRT(PI()*G$9*G$10)))</f>
        <v>0.000260728424724146</v>
      </c>
      <c r="H704" s="3" t="n">
        <f aca="false">H$8*H$10*(1-EXP(-2*$C704/SQRT(PI()*H$9*H$10)))</f>
        <v>5.21465194546354E-005</v>
      </c>
    </row>
    <row r="705" customFormat="false" ht="15.75" hidden="false" customHeight="false" outlineLevel="0" collapsed="false">
      <c r="C705" s="0" t="n">
        <v>69.3</v>
      </c>
      <c r="D705" s="3" t="n">
        <f aca="false">D$8*D$10*(1-EXP(-2*$C705/SQRT(PI()*D$9*D$10)))</f>
        <v>0.000521465194546699</v>
      </c>
      <c r="E705" s="3" t="n">
        <f aca="false">E$8*E$10*(1-EXP(-2*$C705/SQRT(PI()*E$9*E$10)))</f>
        <v>0.000521456981560044</v>
      </c>
      <c r="F705" s="3" t="n">
        <f aca="false">F$8*F$10*(1-EXP(-2*$C705/SQRT(PI()*F$9*F$10)))</f>
        <v>0.000521255693206427</v>
      </c>
      <c r="G705" s="3" t="n">
        <f aca="false">G$8*G$10*(1-EXP(-2*$C705/SQRT(PI()*G$9*G$10)))</f>
        <v>0.000260728490780022</v>
      </c>
      <c r="H705" s="3" t="n">
        <f aca="false">H$8*H$10*(1-EXP(-2*$C705/SQRT(PI()*H$9*H$10)))</f>
        <v>5.21465194546699E-005</v>
      </c>
    </row>
    <row r="706" customFormat="false" ht="15.75" hidden="false" customHeight="false" outlineLevel="0" collapsed="false">
      <c r="C706" s="0" t="n">
        <v>69.4</v>
      </c>
      <c r="D706" s="3" t="n">
        <f aca="false">D$8*D$10*(1-EXP(-2*$C706/SQRT(PI()*D$9*D$10)))</f>
        <v>0.000521465194547033</v>
      </c>
      <c r="E706" s="3" t="n">
        <f aca="false">E$8*E$10*(1-EXP(-2*$C706/SQRT(PI()*E$9*E$10)))</f>
        <v>0.00052145711158033</v>
      </c>
      <c r="F706" s="3" t="n">
        <f aca="false">F$8*F$10*(1-EXP(-2*$C706/SQRT(PI()*F$9*F$10)))</f>
        <v>0.000521258043888766</v>
      </c>
      <c r="G706" s="3" t="n">
        <f aca="false">G$8*G$10*(1-EXP(-2*$C706/SQRT(PI()*G$9*G$10)))</f>
        <v>0.000260728555790165</v>
      </c>
      <c r="H706" s="3" t="n">
        <f aca="false">H$8*H$10*(1-EXP(-2*$C706/SQRT(PI()*H$9*H$10)))</f>
        <v>5.21465194547033E-005</v>
      </c>
    </row>
    <row r="707" customFormat="false" ht="15.75" hidden="false" customHeight="false" outlineLevel="0" collapsed="false">
      <c r="C707" s="0" t="n">
        <v>69.5</v>
      </c>
      <c r="D707" s="3" t="n">
        <f aca="false">D$8*D$10*(1-EXP(-2*$C707/SQRT(PI()*D$9*D$10)))</f>
        <v>0.000521465194547354</v>
      </c>
      <c r="E707" s="3" t="n">
        <f aca="false">E$8*E$10*(1-EXP(-2*$C707/SQRT(PI()*E$9*E$10)))</f>
        <v>0.000521457239542259</v>
      </c>
      <c r="F707" s="3" t="n">
        <f aca="false">F$8*F$10*(1-EXP(-2*$C707/SQRT(PI()*F$9*F$10)))</f>
        <v>0.000521260368195583</v>
      </c>
      <c r="G707" s="3" t="n">
        <f aca="false">G$8*G$10*(1-EXP(-2*$C707/SQRT(PI()*G$9*G$10)))</f>
        <v>0.000260728619771129</v>
      </c>
      <c r="H707" s="3" t="n">
        <f aca="false">H$8*H$10*(1-EXP(-2*$C707/SQRT(PI()*H$9*H$10)))</f>
        <v>5.21465194547354E-005</v>
      </c>
    </row>
    <row r="708" customFormat="false" ht="15.75" hidden="false" customHeight="false" outlineLevel="0" collapsed="false">
      <c r="C708" s="0" t="n">
        <v>69.6</v>
      </c>
      <c r="D708" s="3" t="n">
        <f aca="false">D$8*D$10*(1-EXP(-2*$C708/SQRT(PI()*D$9*D$10)))</f>
        <v>0.000521465194547664</v>
      </c>
      <c r="E708" s="3" t="n">
        <f aca="false">E$8*E$10*(1-EXP(-2*$C708/SQRT(PI()*E$9*E$10)))</f>
        <v>0.000521457365478417</v>
      </c>
      <c r="F708" s="3" t="n">
        <f aca="false">F$8*F$10*(1-EXP(-2*$C708/SQRT(PI()*F$9*F$10)))</f>
        <v>0.000521262666422822</v>
      </c>
      <c r="G708" s="3" t="n">
        <f aca="false">G$8*G$10*(1-EXP(-2*$C708/SQRT(PI()*G$9*G$10)))</f>
        <v>0.000260728682739209</v>
      </c>
      <c r="H708" s="3" t="n">
        <f aca="false">H$8*H$10*(1-EXP(-2*$C708/SQRT(PI()*H$9*H$10)))</f>
        <v>5.21465194547664E-005</v>
      </c>
    </row>
    <row r="709" customFormat="false" ht="15.75" hidden="false" customHeight="false" outlineLevel="0" collapsed="false">
      <c r="C709" s="0" t="n">
        <v>69.7</v>
      </c>
      <c r="D709" s="3" t="n">
        <f aca="false">D$8*D$10*(1-EXP(-2*$C709/SQRT(PI()*D$9*D$10)))</f>
        <v>0.000521465194547964</v>
      </c>
      <c r="E709" s="3" t="n">
        <f aca="false">E$8*E$10*(1-EXP(-2*$C709/SQRT(PI()*E$9*E$10)))</f>
        <v>0.000521457489420875</v>
      </c>
      <c r="F709" s="3" t="n">
        <f aca="false">F$8*F$10*(1-EXP(-2*$C709/SQRT(PI()*F$9*F$10)))</f>
        <v>0.000521264938863104</v>
      </c>
      <c r="G709" s="3" t="n">
        <f aca="false">G$8*G$10*(1-EXP(-2*$C709/SQRT(PI()*G$9*G$10)))</f>
        <v>0.000260728744710438</v>
      </c>
      <c r="H709" s="3" t="n">
        <f aca="false">H$8*H$10*(1-EXP(-2*$C709/SQRT(PI()*H$9*H$10)))</f>
        <v>5.21465194547964E-005</v>
      </c>
    </row>
    <row r="710" customFormat="false" ht="15.75" hidden="false" customHeight="false" outlineLevel="0" collapsed="false">
      <c r="C710" s="0" t="n">
        <v>69.8</v>
      </c>
      <c r="D710" s="3" t="n">
        <f aca="false">D$8*D$10*(1-EXP(-2*$C710/SQRT(PI()*D$9*D$10)))</f>
        <v>0.000521465194548253</v>
      </c>
      <c r="E710" s="3" t="n">
        <f aca="false">E$8*E$10*(1-EXP(-2*$C710/SQRT(PI()*E$9*E$10)))</f>
        <v>0.000521457611401195</v>
      </c>
      <c r="F710" s="3" t="n">
        <f aca="false">F$8*F$10*(1-EXP(-2*$C710/SQRT(PI()*F$9*F$10)))</f>
        <v>0.000521267185805769</v>
      </c>
      <c r="G710" s="3" t="n">
        <f aca="false">G$8*G$10*(1-EXP(-2*$C710/SQRT(PI()*G$9*G$10)))</f>
        <v>0.000260728805700598</v>
      </c>
      <c r="H710" s="3" t="n">
        <f aca="false">H$8*H$10*(1-EXP(-2*$C710/SQRT(PI()*H$9*H$10)))</f>
        <v>5.21465194548253E-005</v>
      </c>
    </row>
    <row r="711" customFormat="false" ht="15.75" hidden="false" customHeight="false" outlineLevel="0" collapsed="false">
      <c r="C711" s="0" t="n">
        <v>69.9</v>
      </c>
      <c r="D711" s="3" t="n">
        <f aca="false">D$8*D$10*(1-EXP(-2*$C711/SQRT(PI()*D$9*D$10)))</f>
        <v>0.000521465194548532</v>
      </c>
      <c r="E711" s="3" t="n">
        <f aca="false">E$8*E$10*(1-EXP(-2*$C711/SQRT(PI()*E$9*E$10)))</f>
        <v>0.000521457731450439</v>
      </c>
      <c r="F711" s="3" t="n">
        <f aca="false">F$8*F$10*(1-EXP(-2*$C711/SQRT(PI()*F$9*F$10)))</f>
        <v>0.000521269407536909</v>
      </c>
      <c r="G711" s="3" t="n">
        <f aca="false">G$8*G$10*(1-EXP(-2*$C711/SQRT(PI()*G$9*G$10)))</f>
        <v>0.00026072886572522</v>
      </c>
      <c r="H711" s="3" t="n">
        <f aca="false">H$8*H$10*(1-EXP(-2*$C711/SQRT(PI()*H$9*H$10)))</f>
        <v>5.21465194548532E-005</v>
      </c>
    </row>
    <row r="712" customFormat="false" ht="15.75" hidden="false" customHeight="false" outlineLevel="0" collapsed="false">
      <c r="C712" s="0" t="n">
        <v>70</v>
      </c>
      <c r="D712" s="3" t="n">
        <f aca="false">D$8*D$10*(1-EXP(-2*$C712/SQRT(PI()*D$9*D$10)))</f>
        <v>0.000521465194548801</v>
      </c>
      <c r="E712" s="3" t="n">
        <f aca="false">E$8*E$10*(1-EXP(-2*$C712/SQRT(PI()*E$9*E$10)))</f>
        <v>0.000521457849599179</v>
      </c>
      <c r="F712" s="3" t="n">
        <f aca="false">F$8*F$10*(1-EXP(-2*$C712/SQRT(PI()*F$9*F$10)))</f>
        <v>0.000521271604339407</v>
      </c>
      <c r="G712" s="3" t="n">
        <f aca="false">G$8*G$10*(1-EXP(-2*$C712/SQRT(PI()*G$9*G$10)))</f>
        <v>0.000260728924799589</v>
      </c>
      <c r="H712" s="3" t="n">
        <f aca="false">H$8*H$10*(1-EXP(-2*$C712/SQRT(PI()*H$9*H$10)))</f>
        <v>5.21465194548801E-005</v>
      </c>
    </row>
    <row r="713" customFormat="false" ht="15.75" hidden="false" customHeight="false" outlineLevel="0" collapsed="false">
      <c r="C713" s="0" t="n">
        <v>70.1</v>
      </c>
      <c r="D713" s="3" t="n">
        <f aca="false">D$8*D$10*(1-EXP(-2*$C713/SQRT(PI()*D$9*D$10)))</f>
        <v>0.00052146519454906</v>
      </c>
      <c r="E713" s="3" t="n">
        <f aca="false">E$8*E$10*(1-EXP(-2*$C713/SQRT(PI()*E$9*E$10)))</f>
        <v>0.000521457965877501</v>
      </c>
      <c r="F713" s="3" t="n">
        <f aca="false">F$8*F$10*(1-EXP(-2*$C713/SQRT(PI()*F$9*F$10)))</f>
        <v>0.000521273776492971</v>
      </c>
      <c r="G713" s="3" t="n">
        <f aca="false">G$8*G$10*(1-EXP(-2*$C713/SQRT(PI()*G$9*G$10)))</f>
        <v>0.00026072898293875</v>
      </c>
      <c r="H713" s="3" t="n">
        <f aca="false">H$8*H$10*(1-EXP(-2*$C713/SQRT(PI()*H$9*H$10)))</f>
        <v>5.2146519454906E-005</v>
      </c>
    </row>
    <row r="714" customFormat="false" ht="15.75" hidden="false" customHeight="false" outlineLevel="0" collapsed="false">
      <c r="C714" s="0" t="n">
        <v>70.2</v>
      </c>
      <c r="D714" s="3" t="n">
        <f aca="false">D$8*D$10*(1-EXP(-2*$C714/SQRT(PI()*D$9*D$10)))</f>
        <v>0.000521465194549311</v>
      </c>
      <c r="E714" s="3" t="n">
        <f aca="false">E$8*E$10*(1-EXP(-2*$C714/SQRT(PI()*E$9*E$10)))</f>
        <v>0.000521458080315016</v>
      </c>
      <c r="F714" s="3" t="n">
        <f aca="false">F$8*F$10*(1-EXP(-2*$C714/SQRT(PI()*F$9*F$10)))</f>
        <v>0.000521275924274172</v>
      </c>
      <c r="G714" s="3" t="n">
        <f aca="false">G$8*G$10*(1-EXP(-2*$C714/SQRT(PI()*G$9*G$10)))</f>
        <v>0.000260729040157508</v>
      </c>
      <c r="H714" s="3" t="n">
        <f aca="false">H$8*H$10*(1-EXP(-2*$C714/SQRT(PI()*H$9*H$10)))</f>
        <v>5.21465194549311E-005</v>
      </c>
    </row>
    <row r="715" customFormat="false" ht="15.75" hidden="false" customHeight="false" outlineLevel="0" collapsed="false">
      <c r="C715" s="0" t="n">
        <v>70.3</v>
      </c>
      <c r="D715" s="3" t="n">
        <f aca="false">D$8*D$10*(1-EXP(-2*$C715/SQRT(PI()*D$9*D$10)))</f>
        <v>0.000521465194549552</v>
      </c>
      <c r="E715" s="3" t="n">
        <f aca="false">E$8*E$10*(1-EXP(-2*$C715/SQRT(PI()*E$9*E$10)))</f>
        <v>0.000521458192940866</v>
      </c>
      <c r="F715" s="3" t="n">
        <f aca="false">F$8*F$10*(1-EXP(-2*$C715/SQRT(PI()*F$9*F$10)))</f>
        <v>0.000521278047956477</v>
      </c>
      <c r="G715" s="3" t="n">
        <f aca="false">G$8*G$10*(1-EXP(-2*$C715/SQRT(PI()*G$9*G$10)))</f>
        <v>0.000260729096470433</v>
      </c>
      <c r="H715" s="3" t="n">
        <f aca="false">H$8*H$10*(1-EXP(-2*$C715/SQRT(PI()*H$9*H$10)))</f>
        <v>5.21465194549552E-005</v>
      </c>
    </row>
    <row r="716" customFormat="false" ht="15.75" hidden="false" customHeight="false" outlineLevel="0" collapsed="false">
      <c r="C716" s="0" t="n">
        <v>70.4</v>
      </c>
      <c r="D716" s="3" t="n">
        <f aca="false">D$8*D$10*(1-EXP(-2*$C716/SQRT(PI()*D$9*D$10)))</f>
        <v>0.000521465194549786</v>
      </c>
      <c r="E716" s="3" t="n">
        <f aca="false">E$8*E$10*(1-EXP(-2*$C716/SQRT(PI()*E$9*E$10)))</f>
        <v>0.000521458303783731</v>
      </c>
      <c r="F716" s="3" t="n">
        <f aca="false">F$8*F$10*(1-EXP(-2*$C716/SQRT(PI()*F$9*F$10)))</f>
        <v>0.000521280147810284</v>
      </c>
      <c r="G716" s="3" t="n">
        <f aca="false">G$8*G$10*(1-EXP(-2*$C716/SQRT(PI()*G$9*G$10)))</f>
        <v>0.000260729151891866</v>
      </c>
      <c r="H716" s="3" t="n">
        <f aca="false">H$8*H$10*(1-EXP(-2*$C716/SQRT(PI()*H$9*H$10)))</f>
        <v>5.21465194549786E-005</v>
      </c>
    </row>
    <row r="717" customFormat="false" ht="15.75" hidden="false" customHeight="false" outlineLevel="0" collapsed="false">
      <c r="C717" s="0" t="n">
        <v>70.5</v>
      </c>
      <c r="D717" s="3" t="n">
        <f aca="false">D$8*D$10*(1-EXP(-2*$C717/SQRT(PI()*D$9*D$10)))</f>
        <v>0.000521465194550011</v>
      </c>
      <c r="E717" s="3" t="n">
        <f aca="false">E$8*E$10*(1-EXP(-2*$C717/SQRT(PI()*E$9*E$10)))</f>
        <v>0.000521458412871838</v>
      </c>
      <c r="F717" s="3" t="n">
        <f aca="false">F$8*F$10*(1-EXP(-2*$C717/SQRT(PI()*F$9*F$10)))</f>
        <v>0.000521282224102957</v>
      </c>
      <c r="G717" s="3" t="n">
        <f aca="false">G$8*G$10*(1-EXP(-2*$C717/SQRT(PI()*G$9*G$10)))</f>
        <v>0.000260729206435919</v>
      </c>
      <c r="H717" s="3" t="n">
        <f aca="false">H$8*H$10*(1-EXP(-2*$C717/SQRT(PI()*H$9*H$10)))</f>
        <v>5.21465194550011E-005</v>
      </c>
    </row>
    <row r="718" customFormat="false" ht="15.75" hidden="false" customHeight="false" outlineLevel="0" collapsed="false">
      <c r="C718" s="0" t="n">
        <v>70.6</v>
      </c>
      <c r="D718" s="3" t="n">
        <f aca="false">D$8*D$10*(1-EXP(-2*$C718/SQRT(PI()*D$9*D$10)))</f>
        <v>0.000521465194550228</v>
      </c>
      <c r="E718" s="3" t="n">
        <f aca="false">E$8*E$10*(1-EXP(-2*$C718/SQRT(PI()*E$9*E$10)))</f>
        <v>0.000521458520232967</v>
      </c>
      <c r="F718" s="3" t="n">
        <f aca="false">F$8*F$10*(1-EXP(-2*$C718/SQRT(PI()*F$9*F$10)))</f>
        <v>0.000521284277098861</v>
      </c>
      <c r="G718" s="3" t="n">
        <f aca="false">G$8*G$10*(1-EXP(-2*$C718/SQRT(PI()*G$9*G$10)))</f>
        <v>0.000260729260116484</v>
      </c>
      <c r="H718" s="3" t="n">
        <f aca="false">H$8*H$10*(1-EXP(-2*$C718/SQRT(PI()*H$9*H$10)))</f>
        <v>5.21465194550228E-005</v>
      </c>
    </row>
    <row r="719" customFormat="false" ht="15.75" hidden="false" customHeight="false" outlineLevel="0" collapsed="false">
      <c r="C719" s="0" t="n">
        <v>70.7</v>
      </c>
      <c r="D719" s="3" t="n">
        <f aca="false">D$8*D$10*(1-EXP(-2*$C719/SQRT(PI()*D$9*D$10)))</f>
        <v>0.000521465194550437</v>
      </c>
      <c r="E719" s="3" t="n">
        <f aca="false">E$8*E$10*(1-EXP(-2*$C719/SQRT(PI()*E$9*E$10)))</f>
        <v>0.000521458625894458</v>
      </c>
      <c r="F719" s="3" t="n">
        <f aca="false">F$8*F$10*(1-EXP(-2*$C719/SQRT(PI()*F$9*F$10)))</f>
        <v>0.000521286307059395</v>
      </c>
      <c r="G719" s="3" t="n">
        <f aca="false">G$8*G$10*(1-EXP(-2*$C719/SQRT(PI()*G$9*G$10)))</f>
        <v>0.000260729312947229</v>
      </c>
      <c r="H719" s="3" t="n">
        <f aca="false">H$8*H$10*(1-EXP(-2*$C719/SQRT(PI()*H$9*H$10)))</f>
        <v>5.21465194550437E-005</v>
      </c>
    </row>
    <row r="720" customFormat="false" ht="15.75" hidden="false" customHeight="false" outlineLevel="0" collapsed="false">
      <c r="C720" s="0" t="n">
        <v>70.8</v>
      </c>
      <c r="D720" s="3" t="n">
        <f aca="false">D$8*D$10*(1-EXP(-2*$C720/SQRT(PI()*D$9*D$10)))</f>
        <v>0.00052146519455064</v>
      </c>
      <c r="E720" s="3" t="n">
        <f aca="false">E$8*E$10*(1-EXP(-2*$C720/SQRT(PI()*E$9*E$10)))</f>
        <v>0.000521458729883217</v>
      </c>
      <c r="F720" s="3" t="n">
        <f aca="false">F$8*F$10*(1-EXP(-2*$C720/SQRT(PI()*F$9*F$10)))</f>
        <v>0.000521288314243024</v>
      </c>
      <c r="G720" s="3" t="n">
        <f aca="false">G$8*G$10*(1-EXP(-2*$C720/SQRT(PI()*G$9*G$10)))</f>
        <v>0.000260729364941608</v>
      </c>
      <c r="H720" s="3" t="n">
        <f aca="false">H$8*H$10*(1-EXP(-2*$C720/SQRT(PI()*H$9*H$10)))</f>
        <v>5.2146519455064E-005</v>
      </c>
    </row>
    <row r="721" customFormat="false" ht="15.75" hidden="false" customHeight="false" outlineLevel="0" collapsed="false">
      <c r="C721" s="0" t="n">
        <v>70.9</v>
      </c>
      <c r="D721" s="3" t="n">
        <f aca="false">D$8*D$10*(1-EXP(-2*$C721/SQRT(PI()*D$9*D$10)))</f>
        <v>0.000521465194550835</v>
      </c>
      <c r="E721" s="3" t="n">
        <f aca="false">E$8*E$10*(1-EXP(-2*$C721/SQRT(PI()*E$9*E$10)))</f>
        <v>0.000521458832225725</v>
      </c>
      <c r="F721" s="3" t="n">
        <f aca="false">F$8*F$10*(1-EXP(-2*$C721/SQRT(PI()*F$9*F$10)))</f>
        <v>0.000521290298905313</v>
      </c>
      <c r="G721" s="3" t="n">
        <f aca="false">G$8*G$10*(1-EXP(-2*$C721/SQRT(PI()*G$9*G$10)))</f>
        <v>0.000260729416112863</v>
      </c>
      <c r="H721" s="3" t="n">
        <f aca="false">H$8*H$10*(1-EXP(-2*$C721/SQRT(PI()*H$9*H$10)))</f>
        <v>5.21465194550835E-005</v>
      </c>
    </row>
    <row r="722" customFormat="false" ht="15.75" hidden="false" customHeight="false" outlineLevel="0" collapsed="false">
      <c r="C722" s="0" t="n">
        <v>71</v>
      </c>
      <c r="D722" s="3" t="n">
        <f aca="false">D$8*D$10*(1-EXP(-2*$C722/SQRT(PI()*D$9*D$10)))</f>
        <v>0.000521465194551023</v>
      </c>
      <c r="E722" s="3" t="n">
        <f aca="false">E$8*E$10*(1-EXP(-2*$C722/SQRT(PI()*E$9*E$10)))</f>
        <v>0.000521458932948045</v>
      </c>
      <c r="F722" s="3" t="n">
        <f aca="false">F$8*F$10*(1-EXP(-2*$C722/SQRT(PI()*F$9*F$10)))</f>
        <v>0.00052129226129896</v>
      </c>
      <c r="G722" s="3" t="n">
        <f aca="false">G$8*G$10*(1-EXP(-2*$C722/SQRT(PI()*G$9*G$10)))</f>
        <v>0.000260729466474023</v>
      </c>
      <c r="H722" s="3" t="n">
        <f aca="false">H$8*H$10*(1-EXP(-2*$C722/SQRT(PI()*H$9*H$10)))</f>
        <v>5.21465194551023E-005</v>
      </c>
    </row>
    <row r="723" customFormat="false" ht="15.75" hidden="false" customHeight="false" outlineLevel="0" collapsed="false">
      <c r="C723" s="0" t="n">
        <v>71.1</v>
      </c>
      <c r="D723" s="3" t="n">
        <f aca="false">D$8*D$10*(1-EXP(-2*$C723/SQRT(PI()*D$9*D$10)))</f>
        <v>0.000521465194551205</v>
      </c>
      <c r="E723" s="3" t="n">
        <f aca="false">E$8*E$10*(1-EXP(-2*$C723/SQRT(PI()*E$9*E$10)))</f>
        <v>0.000521459032075826</v>
      </c>
      <c r="F723" s="3" t="n">
        <f aca="false">F$8*F$10*(1-EXP(-2*$C723/SQRT(PI()*F$9*F$10)))</f>
        <v>0.000521294201673826</v>
      </c>
      <c r="G723" s="3" t="n">
        <f aca="false">G$8*G$10*(1-EXP(-2*$C723/SQRT(PI()*G$9*G$10)))</f>
        <v>0.000260729516037913</v>
      </c>
      <c r="H723" s="3" t="n">
        <f aca="false">H$8*H$10*(1-EXP(-2*$C723/SQRT(PI()*H$9*H$10)))</f>
        <v>5.21465194551205E-005</v>
      </c>
    </row>
    <row r="724" customFormat="false" ht="15.75" hidden="false" customHeight="false" outlineLevel="0" collapsed="false">
      <c r="C724" s="0" t="n">
        <v>71.2</v>
      </c>
      <c r="D724" s="3" t="n">
        <f aca="false">D$8*D$10*(1-EXP(-2*$C724/SQRT(PI()*D$9*D$10)))</f>
        <v>0.00052146519455138</v>
      </c>
      <c r="E724" s="3" t="n">
        <f aca="false">E$8*E$10*(1-EXP(-2*$C724/SQRT(PI()*E$9*E$10)))</f>
        <v>0.000521459129634311</v>
      </c>
      <c r="F724" s="3" t="n">
        <f aca="false">F$8*F$10*(1-EXP(-2*$C724/SQRT(PI()*F$9*F$10)))</f>
        <v>0.000521296120276972</v>
      </c>
      <c r="G724" s="3" t="n">
        <f aca="false">G$8*G$10*(1-EXP(-2*$C724/SQRT(PI()*G$9*G$10)))</f>
        <v>0.000260729564817155</v>
      </c>
      <c r="H724" s="3" t="n">
        <f aca="false">H$8*H$10*(1-EXP(-2*$C724/SQRT(PI()*H$9*H$10)))</f>
        <v>5.2146519455138E-005</v>
      </c>
    </row>
    <row r="725" customFormat="false" ht="15.75" hidden="false" customHeight="false" outlineLevel="0" collapsed="false">
      <c r="C725" s="0" t="n">
        <v>71.3</v>
      </c>
      <c r="D725" s="3" t="n">
        <f aca="false">D$8*D$10*(1-EXP(-2*$C725/SQRT(PI()*D$9*D$10)))</f>
        <v>0.000521465194551549</v>
      </c>
      <c r="E725" s="3" t="n">
        <f aca="false">E$8*E$10*(1-EXP(-2*$C725/SQRT(PI()*E$9*E$10)))</f>
        <v>0.000521459225648343</v>
      </c>
      <c r="F725" s="3" t="n">
        <f aca="false">F$8*F$10*(1-EXP(-2*$C725/SQRT(PI()*F$9*F$10)))</f>
        <v>0.000521298017352684</v>
      </c>
      <c r="G725" s="3" t="n">
        <f aca="false">G$8*G$10*(1-EXP(-2*$C725/SQRT(PI()*G$9*G$10)))</f>
        <v>0.000260729612824171</v>
      </c>
      <c r="H725" s="3" t="n">
        <f aca="false">H$8*H$10*(1-EXP(-2*$C725/SQRT(PI()*H$9*H$10)))</f>
        <v>5.21465194551549E-005</v>
      </c>
    </row>
    <row r="726" customFormat="false" ht="15.75" hidden="false" customHeight="false" outlineLevel="0" collapsed="false">
      <c r="C726" s="0" t="n">
        <v>71.4</v>
      </c>
      <c r="D726" s="3" t="n">
        <f aca="false">D$8*D$10*(1-EXP(-2*$C726/SQRT(PI()*D$9*D$10)))</f>
        <v>0.000521465194551712</v>
      </c>
      <c r="E726" s="3" t="n">
        <f aca="false">E$8*E$10*(1-EXP(-2*$C726/SQRT(PI()*E$9*E$10)))</f>
        <v>0.000521459320142373</v>
      </c>
      <c r="F726" s="3" t="n">
        <f aca="false">F$8*F$10*(1-EXP(-2*$C726/SQRT(PI()*F$9*F$10)))</f>
        <v>0.000521299893142507</v>
      </c>
      <c r="G726" s="3" t="n">
        <f aca="false">G$8*G$10*(1-EXP(-2*$C726/SQRT(PI()*G$9*G$10)))</f>
        <v>0.000260729660071186</v>
      </c>
      <c r="H726" s="3" t="n">
        <f aca="false">H$8*H$10*(1-EXP(-2*$C726/SQRT(PI()*H$9*H$10)))</f>
        <v>5.21465194551712E-005</v>
      </c>
    </row>
    <row r="727" customFormat="false" ht="15.75" hidden="false" customHeight="false" outlineLevel="0" collapsed="false">
      <c r="C727" s="0" t="n">
        <v>71.5</v>
      </c>
      <c r="D727" s="3" t="n">
        <f aca="false">D$8*D$10*(1-EXP(-2*$C727/SQRT(PI()*D$9*D$10)))</f>
        <v>0.00052146519455187</v>
      </c>
      <c r="E727" s="3" t="n">
        <f aca="false">E$8*E$10*(1-EXP(-2*$C727/SQRT(PI()*E$9*E$10)))</f>
        <v>0.000521459413140464</v>
      </c>
      <c r="F727" s="3" t="n">
        <f aca="false">F$8*F$10*(1-EXP(-2*$C727/SQRT(PI()*F$9*F$10)))</f>
        <v>0.000521301747885277</v>
      </c>
      <c r="G727" s="3" t="n">
        <f aca="false">G$8*G$10*(1-EXP(-2*$C727/SQRT(PI()*G$9*G$10)))</f>
        <v>0.000260729706570232</v>
      </c>
      <c r="H727" s="3" t="n">
        <f aca="false">H$8*H$10*(1-EXP(-2*$C727/SQRT(PI()*H$9*H$10)))</f>
        <v>5.2146519455187E-005</v>
      </c>
    </row>
    <row r="728" customFormat="false" ht="15.75" hidden="false" customHeight="false" outlineLevel="0" collapsed="false">
      <c r="C728" s="0" t="n">
        <v>71.6</v>
      </c>
      <c r="D728" s="3" t="n">
        <f aca="false">D$8*D$10*(1-EXP(-2*$C728/SQRT(PI()*D$9*D$10)))</f>
        <v>0.000521465194552022</v>
      </c>
      <c r="E728" s="3" t="n">
        <f aca="false">E$8*E$10*(1-EXP(-2*$C728/SQRT(PI()*E$9*E$10)))</f>
        <v>0.000521459504666299</v>
      </c>
      <c r="F728" s="3" t="n">
        <f aca="false">F$8*F$10*(1-EXP(-2*$C728/SQRT(PI()*F$9*F$10)))</f>
        <v>0.00052130358181715</v>
      </c>
      <c r="G728" s="3" t="n">
        <f aca="false">G$8*G$10*(1-EXP(-2*$C728/SQRT(PI()*G$9*G$10)))</f>
        <v>0.000260729752333149</v>
      </c>
      <c r="H728" s="3" t="n">
        <f aca="false">H$8*H$10*(1-EXP(-2*$C728/SQRT(PI()*H$9*H$10)))</f>
        <v>5.21465194552022E-005</v>
      </c>
    </row>
    <row r="729" customFormat="false" ht="15.75" hidden="false" customHeight="false" outlineLevel="0" collapsed="false">
      <c r="C729" s="0" t="n">
        <v>71.7</v>
      </c>
      <c r="D729" s="3" t="n">
        <f aca="false">D$8*D$10*(1-EXP(-2*$C729/SQRT(PI()*D$9*D$10)))</f>
        <v>0.000521465194552168</v>
      </c>
      <c r="E729" s="3" t="n">
        <f aca="false">E$8*E$10*(1-EXP(-2*$C729/SQRT(PI()*E$9*E$10)))</f>
        <v>0.000521459594743184</v>
      </c>
      <c r="F729" s="3" t="n">
        <f aca="false">F$8*F$10*(1-EXP(-2*$C729/SQRT(PI()*F$9*F$10)))</f>
        <v>0.000521305395171632</v>
      </c>
      <c r="G729" s="3" t="n">
        <f aca="false">G$8*G$10*(1-EXP(-2*$C729/SQRT(PI()*G$9*G$10)))</f>
        <v>0.000260729797371592</v>
      </c>
      <c r="H729" s="3" t="n">
        <f aca="false">H$8*H$10*(1-EXP(-2*$C729/SQRT(PI()*H$9*H$10)))</f>
        <v>5.21465194552169E-005</v>
      </c>
    </row>
    <row r="730" customFormat="false" ht="15.75" hidden="false" customHeight="false" outlineLevel="0" collapsed="false">
      <c r="C730" s="0" t="n">
        <v>71.8</v>
      </c>
      <c r="D730" s="3" t="n">
        <f aca="false">D$8*D$10*(1-EXP(-2*$C730/SQRT(PI()*D$9*D$10)))</f>
        <v>0.00052146519455231</v>
      </c>
      <c r="E730" s="3" t="n">
        <f aca="false">E$8*E$10*(1-EXP(-2*$C730/SQRT(PI()*E$9*E$10)))</f>
        <v>0.000521459683394058</v>
      </c>
      <c r="F730" s="3" t="n">
        <f aca="false">F$8*F$10*(1-EXP(-2*$C730/SQRT(PI()*F$9*F$10)))</f>
        <v>0.000521307188179608</v>
      </c>
      <c r="G730" s="3" t="n">
        <f aca="false">G$8*G$10*(1-EXP(-2*$C730/SQRT(PI()*G$9*G$10)))</f>
        <v>0.000260729841697029</v>
      </c>
      <c r="H730" s="3" t="n">
        <f aca="false">H$8*H$10*(1-EXP(-2*$C730/SQRT(PI()*H$9*H$10)))</f>
        <v>5.2146519455231E-005</v>
      </c>
    </row>
    <row r="731" customFormat="false" ht="15.75" hidden="false" customHeight="false" outlineLevel="0" collapsed="false">
      <c r="C731" s="0" t="n">
        <v>71.9</v>
      </c>
      <c r="D731" s="3" t="n">
        <f aca="false">D$8*D$10*(1-EXP(-2*$C731/SQRT(PI()*D$9*D$10)))</f>
        <v>0.000521465194552447</v>
      </c>
      <c r="E731" s="3" t="n">
        <f aca="false">E$8*E$10*(1-EXP(-2*$C731/SQRT(PI()*E$9*E$10)))</f>
        <v>0.000521459770641496</v>
      </c>
      <c r="F731" s="3" t="n">
        <f aca="false">F$8*F$10*(1-EXP(-2*$C731/SQRT(PI()*F$9*F$10)))</f>
        <v>0.000521308961069374</v>
      </c>
      <c r="G731" s="3" t="n">
        <f aca="false">G$8*G$10*(1-EXP(-2*$C731/SQRT(PI()*G$9*G$10)))</f>
        <v>0.000260729885320748</v>
      </c>
      <c r="H731" s="3" t="n">
        <f aca="false">H$8*H$10*(1-EXP(-2*$C731/SQRT(PI()*H$9*H$10)))</f>
        <v>5.21465194552447E-005</v>
      </c>
    </row>
    <row r="732" customFormat="false" ht="15.75" hidden="false" customHeight="false" outlineLevel="0" collapsed="false">
      <c r="C732" s="0" t="n">
        <v>72</v>
      </c>
      <c r="D732" s="3" t="n">
        <f aca="false">D$8*D$10*(1-EXP(-2*$C732/SQRT(PI()*D$9*D$10)))</f>
        <v>0.000521465194552578</v>
      </c>
      <c r="E732" s="3" t="n">
        <f aca="false">E$8*E$10*(1-EXP(-2*$C732/SQRT(PI()*E$9*E$10)))</f>
        <v>0.000521459856507717</v>
      </c>
      <c r="F732" s="3" t="n">
        <f aca="false">F$8*F$10*(1-EXP(-2*$C732/SQRT(PI()*F$9*F$10)))</f>
        <v>0.000521310714066663</v>
      </c>
      <c r="G732" s="3" t="n">
        <f aca="false">G$8*G$10*(1-EXP(-2*$C732/SQRT(PI()*G$9*G$10)))</f>
        <v>0.000260729928253859</v>
      </c>
      <c r="H732" s="3" t="n">
        <f aca="false">H$8*H$10*(1-EXP(-2*$C732/SQRT(PI()*H$9*H$10)))</f>
        <v>5.21465194552578E-005</v>
      </c>
    </row>
    <row r="733" customFormat="false" ht="15.75" hidden="false" customHeight="false" outlineLevel="0" collapsed="false">
      <c r="C733" s="0" t="n">
        <v>72.1</v>
      </c>
      <c r="D733" s="3" t="n">
        <f aca="false">D$8*D$10*(1-EXP(-2*$C733/SQRT(PI()*D$9*D$10)))</f>
        <v>0.000521465194552706</v>
      </c>
      <c r="E733" s="3" t="n">
        <f aca="false">E$8*E$10*(1-EXP(-2*$C733/SQRT(PI()*E$9*E$10)))</f>
        <v>0.000521459941014586</v>
      </c>
      <c r="F733" s="3" t="n">
        <f aca="false">F$8*F$10*(1-EXP(-2*$C733/SQRT(PI()*F$9*F$10)))</f>
        <v>0.000521312447394677</v>
      </c>
      <c r="G733" s="3" t="n">
        <f aca="false">G$8*G$10*(1-EXP(-2*$C733/SQRT(PI()*G$9*G$10)))</f>
        <v>0.000260729970507293</v>
      </c>
      <c r="H733" s="3" t="n">
        <f aca="false">H$8*H$10*(1-EXP(-2*$C733/SQRT(PI()*H$9*H$10)))</f>
        <v>5.21465194552705E-005</v>
      </c>
    </row>
    <row r="734" customFormat="false" ht="15.75" hidden="false" customHeight="false" outlineLevel="0" collapsed="false">
      <c r="C734" s="0" t="n">
        <v>72.2</v>
      </c>
      <c r="D734" s="3" t="n">
        <f aca="false">D$8*D$10*(1-EXP(-2*$C734/SQRT(PI()*D$9*D$10)))</f>
        <v>0.000521465194552828</v>
      </c>
      <c r="E734" s="3" t="n">
        <f aca="false">E$8*E$10*(1-EXP(-2*$C734/SQRT(PI()*E$9*E$10)))</f>
        <v>0.000521460024183623</v>
      </c>
      <c r="F734" s="3" t="n">
        <f aca="false">F$8*F$10*(1-EXP(-2*$C734/SQRT(PI()*F$9*F$10)))</f>
        <v>0.000521314161274112</v>
      </c>
      <c r="G734" s="3" t="n">
        <f aca="false">G$8*G$10*(1-EXP(-2*$C734/SQRT(PI()*G$9*G$10)))</f>
        <v>0.000260730012091812</v>
      </c>
      <c r="H734" s="3" t="n">
        <f aca="false">H$8*H$10*(1-EXP(-2*$C734/SQRT(PI()*H$9*H$10)))</f>
        <v>5.21465194552828E-005</v>
      </c>
    </row>
    <row r="735" customFormat="false" ht="15.75" hidden="false" customHeight="false" outlineLevel="0" collapsed="false">
      <c r="C735" s="0" t="n">
        <v>72.3</v>
      </c>
      <c r="D735" s="3" t="n">
        <f aca="false">D$8*D$10*(1-EXP(-2*$C735/SQRT(PI()*D$9*D$10)))</f>
        <v>0.000521465194552947</v>
      </c>
      <c r="E735" s="3" t="n">
        <f aca="false">E$8*E$10*(1-EXP(-2*$C735/SQRT(PI()*E$9*E$10)))</f>
        <v>0.000521460106036008</v>
      </c>
      <c r="F735" s="3" t="n">
        <f aca="false">F$8*F$10*(1-EXP(-2*$C735/SQRT(PI()*F$9*F$10)))</f>
        <v>0.000521315855923189</v>
      </c>
      <c r="G735" s="3" t="n">
        <f aca="false">G$8*G$10*(1-EXP(-2*$C735/SQRT(PI()*G$9*G$10)))</f>
        <v>0.000260730053018004</v>
      </c>
      <c r="H735" s="3" t="n">
        <f aca="false">H$8*H$10*(1-EXP(-2*$C735/SQRT(PI()*H$9*H$10)))</f>
        <v>5.21465194552947E-005</v>
      </c>
    </row>
    <row r="736" customFormat="false" ht="15.75" hidden="false" customHeight="false" outlineLevel="0" collapsed="false">
      <c r="C736" s="0" t="n">
        <v>72.4</v>
      </c>
      <c r="D736" s="3" t="n">
        <f aca="false">D$8*D$10*(1-EXP(-2*$C736/SQRT(PI()*D$9*D$10)))</f>
        <v>0.000521465194553061</v>
      </c>
      <c r="E736" s="3" t="n">
        <f aca="false">E$8*E$10*(1-EXP(-2*$C736/SQRT(PI()*E$9*E$10)))</f>
        <v>0.000521460186592584</v>
      </c>
      <c r="F736" s="3" t="n">
        <f aca="false">F$8*F$10*(1-EXP(-2*$C736/SQRT(PI()*F$9*F$10)))</f>
        <v>0.000521317531557678</v>
      </c>
      <c r="G736" s="3" t="n">
        <f aca="false">G$8*G$10*(1-EXP(-2*$C736/SQRT(PI()*G$9*G$10)))</f>
        <v>0.000260730093296292</v>
      </c>
      <c r="H736" s="3" t="n">
        <f aca="false">H$8*H$10*(1-EXP(-2*$C736/SQRT(PI()*H$9*H$10)))</f>
        <v>5.21465194553061E-005</v>
      </c>
    </row>
    <row r="737" customFormat="false" ht="15.75" hidden="false" customHeight="false" outlineLevel="0" collapsed="false">
      <c r="C737" s="0" t="n">
        <v>72.5</v>
      </c>
      <c r="D737" s="3" t="n">
        <f aca="false">D$8*D$10*(1-EXP(-2*$C737/SQRT(PI()*D$9*D$10)))</f>
        <v>0.000521465194553171</v>
      </c>
      <c r="E737" s="3" t="n">
        <f aca="false">E$8*E$10*(1-EXP(-2*$C737/SQRT(PI()*E$9*E$10)))</f>
        <v>0.000521460265873866</v>
      </c>
      <c r="F737" s="3" t="n">
        <f aca="false">F$8*F$10*(1-EXP(-2*$C737/SQRT(PI()*F$9*F$10)))</f>
        <v>0.00052131918839093</v>
      </c>
      <c r="G737" s="3" t="n">
        <f aca="false">G$8*G$10*(1-EXP(-2*$C737/SQRT(PI()*G$9*G$10)))</f>
        <v>0.000260730132936933</v>
      </c>
      <c r="H737" s="3" t="n">
        <f aca="false">H$8*H$10*(1-EXP(-2*$C737/SQRT(PI()*H$9*H$10)))</f>
        <v>5.21465194553171E-005</v>
      </c>
    </row>
    <row r="738" customFormat="false" ht="15.75" hidden="false" customHeight="false" outlineLevel="0" collapsed="false">
      <c r="C738" s="0" t="n">
        <v>72.6</v>
      </c>
      <c r="D738" s="3" t="n">
        <f aca="false">D$8*D$10*(1-EXP(-2*$C738/SQRT(PI()*D$9*D$10)))</f>
        <v>0.000521465194553277</v>
      </c>
      <c r="E738" s="3" t="n">
        <f aca="false">E$8*E$10*(1-EXP(-2*$C738/SQRT(PI()*E$9*E$10)))</f>
        <v>0.000521460343900042</v>
      </c>
      <c r="F738" s="3" t="n">
        <f aca="false">F$8*F$10*(1-EXP(-2*$C738/SQRT(PI()*F$9*F$10)))</f>
        <v>0.000521320826633904</v>
      </c>
      <c r="G738" s="3" t="n">
        <f aca="false">G$8*G$10*(1-EXP(-2*$C738/SQRT(PI()*G$9*G$10)))</f>
        <v>0.000260730171950021</v>
      </c>
      <c r="H738" s="3" t="n">
        <f aca="false">H$8*H$10*(1-EXP(-2*$C738/SQRT(PI()*H$9*H$10)))</f>
        <v>5.21465194553277E-005</v>
      </c>
    </row>
    <row r="739" customFormat="false" ht="15.75" hidden="false" customHeight="false" outlineLevel="0" collapsed="false">
      <c r="C739" s="0" t="n">
        <v>72.7</v>
      </c>
      <c r="D739" s="3" t="n">
        <f aca="false">D$8*D$10*(1-EXP(-2*$C739/SQRT(PI()*D$9*D$10)))</f>
        <v>0.00052146519455338</v>
      </c>
      <c r="E739" s="3" t="n">
        <f aca="false">E$8*E$10*(1-EXP(-2*$C739/SQRT(PI()*E$9*E$10)))</f>
        <v>0.000521460420690982</v>
      </c>
      <c r="F739" s="3" t="n">
        <f aca="false">F$8*F$10*(1-EXP(-2*$C739/SQRT(PI()*F$9*F$10)))</f>
        <v>0.000521322446495187</v>
      </c>
      <c r="G739" s="3" t="n">
        <f aca="false">G$8*G$10*(1-EXP(-2*$C739/SQRT(PI()*G$9*G$10)))</f>
        <v>0.000260730210345491</v>
      </c>
      <c r="H739" s="3" t="n">
        <f aca="false">H$8*H$10*(1-EXP(-2*$C739/SQRT(PI()*H$9*H$10)))</f>
        <v>5.2146519455338E-005</v>
      </c>
    </row>
    <row r="740" customFormat="false" ht="15.75" hidden="false" customHeight="false" outlineLevel="0" collapsed="false">
      <c r="C740" s="0" t="n">
        <v>72.8</v>
      </c>
      <c r="D740" s="3" t="n">
        <f aca="false">D$8*D$10*(1-EXP(-2*$C740/SQRT(PI()*D$9*D$10)))</f>
        <v>0.000521465194553479</v>
      </c>
      <c r="E740" s="3" t="n">
        <f aca="false">E$8*E$10*(1-EXP(-2*$C740/SQRT(PI()*E$9*E$10)))</f>
        <v>0.000521460496266243</v>
      </c>
      <c r="F740" s="3" t="n">
        <f aca="false">F$8*F$10*(1-EXP(-2*$C740/SQRT(PI()*F$9*F$10)))</f>
        <v>0.00052132404818103</v>
      </c>
      <c r="G740" s="3" t="n">
        <f aca="false">G$8*G$10*(1-EXP(-2*$C740/SQRT(PI()*G$9*G$10)))</f>
        <v>0.000260730248133121</v>
      </c>
      <c r="H740" s="3" t="n">
        <f aca="false">H$8*H$10*(1-EXP(-2*$C740/SQRT(PI()*H$9*H$10)))</f>
        <v>5.21465194553479E-005</v>
      </c>
    </row>
    <row r="741" customFormat="false" ht="15.75" hidden="false" customHeight="false" outlineLevel="0" collapsed="false">
      <c r="C741" s="0" t="n">
        <v>72.9</v>
      </c>
      <c r="D741" s="3" t="n">
        <f aca="false">D$8*D$10*(1-EXP(-2*$C741/SQRT(PI()*D$9*D$10)))</f>
        <v>0.000521465194553575</v>
      </c>
      <c r="E741" s="3" t="n">
        <f aca="false">E$8*E$10*(1-EXP(-2*$C741/SQRT(PI()*E$9*E$10)))</f>
        <v>0.000521460570645067</v>
      </c>
      <c r="F741" s="3" t="n">
        <f aca="false">F$8*F$10*(1-EXP(-2*$C741/SQRT(PI()*F$9*F$10)))</f>
        <v>0.000521325631895367</v>
      </c>
      <c r="G741" s="3" t="n">
        <f aca="false">G$8*G$10*(1-EXP(-2*$C741/SQRT(PI()*G$9*G$10)))</f>
        <v>0.000260730285322534</v>
      </c>
      <c r="H741" s="3" t="n">
        <f aca="false">H$8*H$10*(1-EXP(-2*$C741/SQRT(PI()*H$9*H$10)))</f>
        <v>5.21465194553575E-005</v>
      </c>
    </row>
    <row r="742" customFormat="false" ht="15.75" hidden="false" customHeight="false" outlineLevel="0" collapsed="false">
      <c r="C742" s="0" t="n">
        <v>73</v>
      </c>
      <c r="D742" s="3" t="n">
        <f aca="false">D$8*D$10*(1-EXP(-2*$C742/SQRT(PI()*D$9*D$10)))</f>
        <v>0.000521465194553667</v>
      </c>
      <c r="E742" s="3" t="n">
        <f aca="false">E$8*E$10*(1-EXP(-2*$C742/SQRT(PI()*E$9*E$10)))</f>
        <v>0.000521460643846398</v>
      </c>
      <c r="F742" s="3" t="n">
        <f aca="false">F$8*F$10*(1-EXP(-2*$C742/SQRT(PI()*F$9*F$10)))</f>
        <v>0.000521327197839847</v>
      </c>
      <c r="G742" s="3" t="n">
        <f aca="false">G$8*G$10*(1-EXP(-2*$C742/SQRT(PI()*G$9*G$10)))</f>
        <v>0.000260730321923199</v>
      </c>
      <c r="H742" s="3" t="n">
        <f aca="false">H$8*H$10*(1-EXP(-2*$C742/SQRT(PI()*H$9*H$10)))</f>
        <v>5.21465194553667E-005</v>
      </c>
    </row>
    <row r="743" customFormat="false" ht="15.75" hidden="false" customHeight="false" outlineLevel="0" collapsed="false">
      <c r="C743" s="0" t="n">
        <v>73.1</v>
      </c>
      <c r="D743" s="3" t="n">
        <f aca="false">D$8*D$10*(1-EXP(-2*$C743/SQRT(PI()*D$9*D$10)))</f>
        <v>0.000521465194553756</v>
      </c>
      <c r="E743" s="3" t="n">
        <f aca="false">E$8*E$10*(1-EXP(-2*$C743/SQRT(PI()*E$9*E$10)))</f>
        <v>0.000521460715888875</v>
      </c>
      <c r="F743" s="3" t="n">
        <f aca="false">F$8*F$10*(1-EXP(-2*$C743/SQRT(PI()*F$9*F$10)))</f>
        <v>0.000521328746213852</v>
      </c>
      <c r="G743" s="3" t="n">
        <f aca="false">G$8*G$10*(1-EXP(-2*$C743/SQRT(PI()*G$9*G$10)))</f>
        <v>0.000260730357944438</v>
      </c>
      <c r="H743" s="3" t="n">
        <f aca="false">H$8*H$10*(1-EXP(-2*$C743/SQRT(PI()*H$9*H$10)))</f>
        <v>5.21465194553756E-005</v>
      </c>
    </row>
    <row r="744" customFormat="false" ht="15.75" hidden="false" customHeight="false" outlineLevel="0" collapsed="false">
      <c r="C744" s="0" t="n">
        <v>73.2</v>
      </c>
      <c r="D744" s="3" t="n">
        <f aca="false">D$8*D$10*(1-EXP(-2*$C744/SQRT(PI()*D$9*D$10)))</f>
        <v>0.000521465194553842</v>
      </c>
      <c r="E744" s="3" t="n">
        <f aca="false">E$8*E$10*(1-EXP(-2*$C744/SQRT(PI()*E$9*E$10)))</f>
        <v>0.000521460786790845</v>
      </c>
      <c r="F744" s="3" t="n">
        <f aca="false">F$8*F$10*(1-EXP(-2*$C744/SQRT(PI()*F$9*F$10)))</f>
        <v>0.00052133027721453</v>
      </c>
      <c r="G744" s="3" t="n">
        <f aca="false">G$8*G$10*(1-EXP(-2*$C744/SQRT(PI()*G$9*G$10)))</f>
        <v>0.000260730393395423</v>
      </c>
      <c r="H744" s="3" t="n">
        <f aca="false">H$8*H$10*(1-EXP(-2*$C744/SQRT(PI()*H$9*H$10)))</f>
        <v>5.21465194553842E-005</v>
      </c>
    </row>
    <row r="745" customFormat="false" ht="15.75" hidden="false" customHeight="false" outlineLevel="0" collapsed="false">
      <c r="C745" s="0" t="n">
        <v>73.3</v>
      </c>
      <c r="D745" s="3" t="n">
        <f aca="false">D$8*D$10*(1-EXP(-2*$C745/SQRT(PI()*D$9*D$10)))</f>
        <v>0.000521465194553925</v>
      </c>
      <c r="E745" s="3" t="n">
        <f aca="false">E$8*E$10*(1-EXP(-2*$C745/SQRT(PI()*E$9*E$10)))</f>
        <v>0.000521460856570363</v>
      </c>
      <c r="F745" s="3" t="n">
        <f aca="false">F$8*F$10*(1-EXP(-2*$C745/SQRT(PI()*F$9*F$10)))</f>
        <v>0.000521331791036816</v>
      </c>
      <c r="G745" s="3" t="n">
        <f aca="false">G$8*G$10*(1-EXP(-2*$C745/SQRT(PI()*G$9*G$10)))</f>
        <v>0.000260730428285182</v>
      </c>
      <c r="H745" s="3" t="n">
        <f aca="false">H$8*H$10*(1-EXP(-2*$C745/SQRT(PI()*H$9*H$10)))</f>
        <v>5.21465194553925E-005</v>
      </c>
    </row>
    <row r="746" customFormat="false" ht="15.75" hidden="false" customHeight="false" outlineLevel="0" collapsed="false">
      <c r="C746" s="0" t="n">
        <v>73.4</v>
      </c>
      <c r="D746" s="3" t="n">
        <f aca="false">D$8*D$10*(1-EXP(-2*$C746/SQRT(PI()*D$9*D$10)))</f>
        <v>0.000521465194554005</v>
      </c>
      <c r="E746" s="3" t="n">
        <f aca="false">E$8*E$10*(1-EXP(-2*$C746/SQRT(PI()*E$9*E$10)))</f>
        <v>0.000521460925245199</v>
      </c>
      <c r="F746" s="3" t="n">
        <f aca="false">F$8*F$10*(1-EXP(-2*$C746/SQRT(PI()*F$9*F$10)))</f>
        <v>0.000521333287873459</v>
      </c>
      <c r="G746" s="3" t="n">
        <f aca="false">G$8*G$10*(1-EXP(-2*$C746/SQRT(PI()*G$9*G$10)))</f>
        <v>0.000260730462622599</v>
      </c>
      <c r="H746" s="3" t="n">
        <f aca="false">H$8*H$10*(1-EXP(-2*$C746/SQRT(PI()*H$9*H$10)))</f>
        <v>5.21465194554005E-005</v>
      </c>
    </row>
    <row r="747" customFormat="false" ht="15.75" hidden="false" customHeight="false" outlineLevel="0" collapsed="false">
      <c r="C747" s="0" t="n">
        <v>73.5</v>
      </c>
      <c r="D747" s="3" t="n">
        <f aca="false">D$8*D$10*(1-EXP(-2*$C747/SQRT(PI()*D$9*D$10)))</f>
        <v>0.000521465194554082</v>
      </c>
      <c r="E747" s="3" t="n">
        <f aca="false">E$8*E$10*(1-EXP(-2*$C747/SQRT(PI()*E$9*E$10)))</f>
        <v>0.00052146099283284</v>
      </c>
      <c r="F747" s="3" t="n">
        <f aca="false">F$8*F$10*(1-EXP(-2*$C747/SQRT(PI()*F$9*F$10)))</f>
        <v>0.000521334767915043</v>
      </c>
      <c r="G747" s="3" t="n">
        <f aca="false">G$8*G$10*(1-EXP(-2*$C747/SQRT(PI()*G$9*G$10)))</f>
        <v>0.00026073049641642</v>
      </c>
      <c r="H747" s="3" t="n">
        <f aca="false">H$8*H$10*(1-EXP(-2*$C747/SQRT(PI()*H$9*H$10)))</f>
        <v>5.21465194554082E-005</v>
      </c>
    </row>
    <row r="748" customFormat="false" ht="15.75" hidden="false" customHeight="false" outlineLevel="0" collapsed="false">
      <c r="C748" s="0" t="n">
        <v>73.6</v>
      </c>
      <c r="D748" s="3" t="n">
        <f aca="false">D$8*D$10*(1-EXP(-2*$C748/SQRT(PI()*D$9*D$10)))</f>
        <v>0.000521465194554156</v>
      </c>
      <c r="E748" s="3" t="n">
        <f aca="false">E$8*E$10*(1-EXP(-2*$C748/SQRT(PI()*E$9*E$10)))</f>
        <v>0.000521461059350498</v>
      </c>
      <c r="F748" s="3" t="n">
        <f aca="false">F$8*F$10*(1-EXP(-2*$C748/SQRT(PI()*F$9*F$10)))</f>
        <v>0.000521336231350015</v>
      </c>
      <c r="G748" s="3" t="n">
        <f aca="false">G$8*G$10*(1-EXP(-2*$C748/SQRT(PI()*G$9*G$10)))</f>
        <v>0.000260730529675249</v>
      </c>
      <c r="H748" s="3" t="n">
        <f aca="false">H$8*H$10*(1-EXP(-2*$C748/SQRT(PI()*H$9*H$10)))</f>
        <v>5.21465194554156E-005</v>
      </c>
    </row>
    <row r="749" customFormat="false" ht="15.75" hidden="false" customHeight="false" outlineLevel="0" collapsed="false">
      <c r="C749" s="0" t="n">
        <v>73.7</v>
      </c>
      <c r="D749" s="3" t="n">
        <f aca="false">D$8*D$10*(1-EXP(-2*$C749/SQRT(PI()*D$9*D$10)))</f>
        <v>0.000521465194554228</v>
      </c>
      <c r="E749" s="3" t="n">
        <f aca="false">E$8*E$10*(1-EXP(-2*$C749/SQRT(PI()*E$9*E$10)))</f>
        <v>0.000521461124815113</v>
      </c>
      <c r="F749" s="3" t="n">
        <f aca="false">F$8*F$10*(1-EXP(-2*$C749/SQRT(PI()*F$9*F$10)))</f>
        <v>0.000521337678364708</v>
      </c>
      <c r="G749" s="3" t="n">
        <f aca="false">G$8*G$10*(1-EXP(-2*$C749/SQRT(PI()*G$9*G$10)))</f>
        <v>0.000260730562407556</v>
      </c>
      <c r="H749" s="3" t="n">
        <f aca="false">H$8*H$10*(1-EXP(-2*$C749/SQRT(PI()*H$9*H$10)))</f>
        <v>5.21465194554228E-005</v>
      </c>
    </row>
    <row r="750" customFormat="false" ht="15.75" hidden="false" customHeight="false" outlineLevel="0" collapsed="false">
      <c r="C750" s="0" t="n">
        <v>73.8</v>
      </c>
      <c r="D750" s="3" t="n">
        <f aca="false">D$8*D$10*(1-EXP(-2*$C750/SQRT(PI()*D$9*D$10)))</f>
        <v>0.000521465194554297</v>
      </c>
      <c r="E750" s="3" t="n">
        <f aca="false">E$8*E$10*(1-EXP(-2*$C750/SQRT(PI()*E$9*E$10)))</f>
        <v>0.000521461189243354</v>
      </c>
      <c r="F750" s="3" t="n">
        <f aca="false">F$8*F$10*(1-EXP(-2*$C750/SQRT(PI()*F$9*F$10)))</f>
        <v>0.000521339109143362</v>
      </c>
      <c r="G750" s="3" t="n">
        <f aca="false">G$8*G$10*(1-EXP(-2*$C750/SQRT(PI()*G$9*G$10)))</f>
        <v>0.000260730594621677</v>
      </c>
      <c r="H750" s="3" t="n">
        <f aca="false">H$8*H$10*(1-EXP(-2*$C750/SQRT(PI()*H$9*H$10)))</f>
        <v>5.21465194554297E-005</v>
      </c>
    </row>
    <row r="751" customFormat="false" ht="15.75" hidden="false" customHeight="false" outlineLevel="0" collapsed="false">
      <c r="C751" s="0" t="n">
        <v>73.9</v>
      </c>
      <c r="D751" s="3" t="n">
        <f aca="false">D$8*D$10*(1-EXP(-2*$C751/SQRT(PI()*D$9*D$10)))</f>
        <v>0.000521465194554364</v>
      </c>
      <c r="E751" s="3" t="n">
        <f aca="false">E$8*E$10*(1-EXP(-2*$C751/SQRT(PI()*E$9*E$10)))</f>
        <v>0.000521461252651629</v>
      </c>
      <c r="F751" s="3" t="n">
        <f aca="false">F$8*F$10*(1-EXP(-2*$C751/SQRT(PI()*F$9*F$10)))</f>
        <v>0.000521340523868153</v>
      </c>
      <c r="G751" s="3" t="n">
        <f aca="false">G$8*G$10*(1-EXP(-2*$C751/SQRT(PI()*G$9*G$10)))</f>
        <v>0.000260730626325815</v>
      </c>
      <c r="H751" s="3" t="n">
        <f aca="false">H$8*H$10*(1-EXP(-2*$C751/SQRT(PI()*H$9*H$10)))</f>
        <v>5.21465194554364E-005</v>
      </c>
    </row>
    <row r="752" customFormat="false" ht="15.75" hidden="false" customHeight="false" outlineLevel="0" collapsed="false">
      <c r="C752" s="0" t="n">
        <v>74</v>
      </c>
      <c r="D752" s="3" t="n">
        <f aca="false">D$8*D$10*(1-EXP(-2*$C752/SQRT(PI()*D$9*D$10)))</f>
        <v>0.000521465194554429</v>
      </c>
      <c r="E752" s="3" t="n">
        <f aca="false">E$8*E$10*(1-EXP(-2*$C752/SQRT(PI()*E$9*E$10)))</f>
        <v>0.000521461315056086</v>
      </c>
      <c r="F752" s="3" t="n">
        <f aca="false">F$8*F$10*(1-EXP(-2*$C752/SQRT(PI()*F$9*F$10)))</f>
        <v>0.00052134192271921</v>
      </c>
      <c r="G752" s="3" t="n">
        <f aca="false">G$8*G$10*(1-EXP(-2*$C752/SQRT(PI()*G$9*G$10)))</f>
        <v>0.000260730657528043</v>
      </c>
      <c r="H752" s="3" t="n">
        <f aca="false">H$8*H$10*(1-EXP(-2*$C752/SQRT(PI()*H$9*H$10)))</f>
        <v>5.21465194554429E-005</v>
      </c>
    </row>
    <row r="753" customFormat="false" ht="15.75" hidden="false" customHeight="false" outlineLevel="0" collapsed="false">
      <c r="C753" s="0" t="n">
        <v>74.1</v>
      </c>
      <c r="D753" s="3" t="n">
        <f aca="false">D$8*D$10*(1-EXP(-2*$C753/SQRT(PI()*D$9*D$10)))</f>
        <v>0.000521465194554491</v>
      </c>
      <c r="E753" s="3" t="n">
        <f aca="false">E$8*E$10*(1-EXP(-2*$C753/SQRT(PI()*E$9*E$10)))</f>
        <v>0.000521461376472614</v>
      </c>
      <c r="F753" s="3" t="n">
        <f aca="false">F$8*F$10*(1-EXP(-2*$C753/SQRT(PI()*F$9*F$10)))</f>
        <v>0.000521343305874643</v>
      </c>
      <c r="G753" s="3" t="n">
        <f aca="false">G$8*G$10*(1-EXP(-2*$C753/SQRT(PI()*G$9*G$10)))</f>
        <v>0.000260730688236307</v>
      </c>
      <c r="H753" s="3" t="n">
        <f aca="false">H$8*H$10*(1-EXP(-2*$C753/SQRT(PI()*H$9*H$10)))</f>
        <v>5.21465194554491E-005</v>
      </c>
    </row>
    <row r="754" customFormat="false" ht="15.75" hidden="false" customHeight="false" outlineLevel="0" collapsed="false">
      <c r="C754" s="0" t="n">
        <v>74.2</v>
      </c>
      <c r="D754" s="3" t="n">
        <f aca="false">D$8*D$10*(1-EXP(-2*$C754/SQRT(PI()*D$9*D$10)))</f>
        <v>0.000521465194554551</v>
      </c>
      <c r="E754" s="3" t="n">
        <f aca="false">E$8*E$10*(1-EXP(-2*$C754/SQRT(PI()*E$9*E$10)))</f>
        <v>0.000521461436916855</v>
      </c>
      <c r="F754" s="3" t="n">
        <f aca="false">F$8*F$10*(1-EXP(-2*$C754/SQRT(PI()*F$9*F$10)))</f>
        <v>0.000521344673510562</v>
      </c>
      <c r="G754" s="3" t="n">
        <f aca="false">G$8*G$10*(1-EXP(-2*$C754/SQRT(PI()*G$9*G$10)))</f>
        <v>0.000260730718458428</v>
      </c>
      <c r="H754" s="3" t="n">
        <f aca="false">H$8*H$10*(1-EXP(-2*$C754/SQRT(PI()*H$9*H$10)))</f>
        <v>5.21465194554551E-005</v>
      </c>
    </row>
    <row r="755" customFormat="false" ht="15.75" hidden="false" customHeight="false" outlineLevel="0" collapsed="false">
      <c r="C755" s="0" t="n">
        <v>74.3</v>
      </c>
      <c r="D755" s="3" t="n">
        <f aca="false">D$8*D$10*(1-EXP(-2*$C755/SQRT(PI()*D$9*D$10)))</f>
        <v>0.000521465194554609</v>
      </c>
      <c r="E755" s="3" t="n">
        <f aca="false">E$8*E$10*(1-EXP(-2*$C755/SQRT(PI()*E$9*E$10)))</f>
        <v>0.000521461496404201</v>
      </c>
      <c r="F755" s="3" t="n">
        <f aca="false">F$8*F$10*(1-EXP(-2*$C755/SQRT(PI()*F$9*F$10)))</f>
        <v>0.000521346025801103</v>
      </c>
      <c r="G755" s="3" t="n">
        <f aca="false">G$8*G$10*(1-EXP(-2*$C755/SQRT(PI()*G$9*G$10)))</f>
        <v>0.000260730748202101</v>
      </c>
      <c r="H755" s="3" t="n">
        <f aca="false">H$8*H$10*(1-EXP(-2*$C755/SQRT(PI()*H$9*H$10)))</f>
        <v>5.21465194554609E-005</v>
      </c>
    </row>
    <row r="756" customFormat="false" ht="15.75" hidden="false" customHeight="false" outlineLevel="0" collapsed="false">
      <c r="C756" s="0" t="n">
        <v>74.4</v>
      </c>
      <c r="D756" s="3" t="n">
        <f aca="false">D$8*D$10*(1-EXP(-2*$C756/SQRT(PI()*D$9*D$10)))</f>
        <v>0.000521465194554665</v>
      </c>
      <c r="E756" s="3" t="n">
        <f aca="false">E$8*E$10*(1-EXP(-2*$C756/SQRT(PI()*E$9*E$10)))</f>
        <v>0.0005214615549498</v>
      </c>
      <c r="F756" s="3" t="n">
        <f aca="false">F$8*F$10*(1-EXP(-2*$C756/SQRT(PI()*F$9*F$10)))</f>
        <v>0.000521347362918445</v>
      </c>
      <c r="G756" s="3" t="n">
        <f aca="false">G$8*G$10*(1-EXP(-2*$C756/SQRT(PI()*G$9*G$10)))</f>
        <v>0.0002607307774749</v>
      </c>
      <c r="H756" s="3" t="n">
        <f aca="false">H$8*H$10*(1-EXP(-2*$C756/SQRT(PI()*H$9*H$10)))</f>
        <v>5.21465194554665E-005</v>
      </c>
    </row>
    <row r="757" customFormat="false" ht="15.75" hidden="false" customHeight="false" outlineLevel="0" collapsed="false">
      <c r="C757" s="0" t="n">
        <v>74.5</v>
      </c>
      <c r="D757" s="3" t="n">
        <f aca="false">D$8*D$10*(1-EXP(-2*$C757/SQRT(PI()*D$9*D$10)))</f>
        <v>0.000521465194554719</v>
      </c>
      <c r="E757" s="3" t="n">
        <f aca="false">E$8*E$10*(1-EXP(-2*$C757/SQRT(PI()*E$9*E$10)))</f>
        <v>0.000521461612568561</v>
      </c>
      <c r="F757" s="3" t="n">
        <f aca="false">F$8*F$10*(1-EXP(-2*$C757/SQRT(PI()*F$9*F$10)))</f>
        <v>0.000521348685032838</v>
      </c>
      <c r="G757" s="3" t="n">
        <f aca="false">G$8*G$10*(1-EXP(-2*$C757/SQRT(PI()*G$9*G$10)))</f>
        <v>0.000260730806284281</v>
      </c>
      <c r="H757" s="3" t="n">
        <f aca="false">H$8*H$10*(1-EXP(-2*$C757/SQRT(PI()*H$9*H$10)))</f>
        <v>5.21465194554719E-005</v>
      </c>
    </row>
    <row r="758" customFormat="false" ht="15.75" hidden="false" customHeight="false" outlineLevel="0" collapsed="false">
      <c r="C758" s="0" t="n">
        <v>74.6</v>
      </c>
      <c r="D758" s="3" t="n">
        <f aca="false">D$8*D$10*(1-EXP(-2*$C758/SQRT(PI()*D$9*D$10)))</f>
        <v>0.000521465194554771</v>
      </c>
      <c r="E758" s="3" t="n">
        <f aca="false">E$8*E$10*(1-EXP(-2*$C758/SQRT(PI()*E$9*E$10)))</f>
        <v>0.000521461669275158</v>
      </c>
      <c r="F758" s="3" t="n">
        <f aca="false">F$8*F$10*(1-EXP(-2*$C758/SQRT(PI()*F$9*F$10)))</f>
        <v>0.00052134999231262</v>
      </c>
      <c r="G758" s="3" t="n">
        <f aca="false">G$8*G$10*(1-EXP(-2*$C758/SQRT(PI()*G$9*G$10)))</f>
        <v>0.000260730834637579</v>
      </c>
      <c r="H758" s="3" t="n">
        <f aca="false">H$8*H$10*(1-EXP(-2*$C758/SQRT(PI()*H$9*H$10)))</f>
        <v>5.21465194554771E-005</v>
      </c>
    </row>
    <row r="759" customFormat="false" ht="15.75" hidden="false" customHeight="false" outlineLevel="0" collapsed="false">
      <c r="C759" s="0" t="n">
        <v>74.7</v>
      </c>
      <c r="D759" s="3" t="n">
        <f aca="false">D$8*D$10*(1-EXP(-2*$C759/SQRT(PI()*D$9*D$10)))</f>
        <v>0.000521465194554822</v>
      </c>
      <c r="E759" s="3" t="n">
        <f aca="false">E$8*E$10*(1-EXP(-2*$C759/SQRT(PI()*E$9*E$10)))</f>
        <v>0.00052146172508403</v>
      </c>
      <c r="F759" s="3" t="n">
        <f aca="false">F$8*F$10*(1-EXP(-2*$C759/SQRT(PI()*F$9*F$10)))</f>
        <v>0.000521351284924242</v>
      </c>
      <c r="G759" s="3" t="n">
        <f aca="false">G$8*G$10*(1-EXP(-2*$C759/SQRT(PI()*G$9*G$10)))</f>
        <v>0.000260730862542015</v>
      </c>
      <c r="H759" s="3" t="n">
        <f aca="false">H$8*H$10*(1-EXP(-2*$C759/SQRT(PI()*H$9*H$10)))</f>
        <v>5.21465194554822E-005</v>
      </c>
    </row>
    <row r="760" customFormat="false" ht="15.75" hidden="false" customHeight="false" outlineLevel="0" collapsed="false">
      <c r="C760" s="0" t="n">
        <v>74.8</v>
      </c>
      <c r="D760" s="3" t="n">
        <f aca="false">D$8*D$10*(1-EXP(-2*$C760/SQRT(PI()*D$9*D$10)))</f>
        <v>0.00052146519455487</v>
      </c>
      <c r="E760" s="3" t="n">
        <f aca="false">E$8*E$10*(1-EXP(-2*$C760/SQRT(PI()*E$9*E$10)))</f>
        <v>0.000521461780009389</v>
      </c>
      <c r="F760" s="3" t="n">
        <f aca="false">F$8*F$10*(1-EXP(-2*$C760/SQRT(PI()*F$9*F$10)))</f>
        <v>0.000521352563032285</v>
      </c>
      <c r="G760" s="3" t="n">
        <f aca="false">G$8*G$10*(1-EXP(-2*$C760/SQRT(PI()*G$9*G$10)))</f>
        <v>0.000260730890004694</v>
      </c>
      <c r="H760" s="3" t="n">
        <f aca="false">H$8*H$10*(1-EXP(-2*$C760/SQRT(PI()*H$9*H$10)))</f>
        <v>5.2146519455487E-005</v>
      </c>
    </row>
    <row r="761" customFormat="false" ht="15.75" hidden="false" customHeight="false" outlineLevel="0" collapsed="false">
      <c r="C761" s="0" t="n">
        <v>74.9</v>
      </c>
      <c r="D761" s="3" t="n">
        <f aca="false">D$8*D$10*(1-EXP(-2*$C761/SQRT(PI()*D$9*D$10)))</f>
        <v>0.000521465194554917</v>
      </c>
      <c r="E761" s="3" t="n">
        <f aca="false">E$8*E$10*(1-EXP(-2*$C761/SQRT(PI()*E$9*E$10)))</f>
        <v>0.000521461834065222</v>
      </c>
      <c r="F761" s="3" t="n">
        <f aca="false">F$8*F$10*(1-EXP(-2*$C761/SQRT(PI()*F$9*F$10)))</f>
        <v>0.000521353826799484</v>
      </c>
      <c r="G761" s="3" t="n">
        <f aca="false">G$8*G$10*(1-EXP(-2*$C761/SQRT(PI()*G$9*G$10)))</f>
        <v>0.000260730917032611</v>
      </c>
      <c r="H761" s="3" t="n">
        <f aca="false">H$8*H$10*(1-EXP(-2*$C761/SQRT(PI()*H$9*H$10)))</f>
        <v>5.21465194554917E-005</v>
      </c>
    </row>
    <row r="762" customFormat="false" ht="15.75" hidden="false" customHeight="false" outlineLevel="0" collapsed="false">
      <c r="C762" s="0" t="n">
        <v>75</v>
      </c>
      <c r="D762" s="3" t="n">
        <f aca="false">D$8*D$10*(1-EXP(-2*$C762/SQRT(PI()*D$9*D$10)))</f>
        <v>0.000521465194554962</v>
      </c>
      <c r="E762" s="3" t="n">
        <f aca="false">E$8*E$10*(1-EXP(-2*$C762/SQRT(PI()*E$9*E$10)))</f>
        <v>0.000521461887265296</v>
      </c>
      <c r="F762" s="3" t="n">
        <f aca="false">F$8*F$10*(1-EXP(-2*$C762/SQRT(PI()*F$9*F$10)))</f>
        <v>0.00052135507638675</v>
      </c>
      <c r="G762" s="3" t="n">
        <f aca="false">G$8*G$10*(1-EXP(-2*$C762/SQRT(PI()*G$9*G$10)))</f>
        <v>0.000260730943632648</v>
      </c>
      <c r="H762" s="3" t="n">
        <f aca="false">H$8*H$10*(1-EXP(-2*$C762/SQRT(PI()*H$9*H$10)))</f>
        <v>5.21465194554962E-005</v>
      </c>
    </row>
    <row r="763" customFormat="false" ht="15.75" hidden="false" customHeight="false" outlineLevel="0" collapsed="false">
      <c r="C763" s="0" t="n">
        <v>75.1</v>
      </c>
      <c r="D763" s="3" t="n">
        <f aca="false">D$8*D$10*(1-EXP(-2*$C763/SQRT(PI()*D$9*D$10)))</f>
        <v>0.000521465194555006</v>
      </c>
      <c r="E763" s="3" t="n">
        <f aca="false">E$8*E$10*(1-EXP(-2*$C763/SQRT(PI()*E$9*E$10)))</f>
        <v>0.000521461939623156</v>
      </c>
      <c r="F763" s="3" t="n">
        <f aca="false">F$8*F$10*(1-EXP(-2*$C763/SQRT(PI()*F$9*F$10)))</f>
        <v>0.000521356311953187</v>
      </c>
      <c r="G763" s="3" t="n">
        <f aca="false">G$8*G$10*(1-EXP(-2*$C763/SQRT(PI()*G$9*G$10)))</f>
        <v>0.000260730969811578</v>
      </c>
      <c r="H763" s="3" t="n">
        <f aca="false">H$8*H$10*(1-EXP(-2*$C763/SQRT(PI()*H$9*H$10)))</f>
        <v>5.21465194555006E-005</v>
      </c>
    </row>
    <row r="764" customFormat="false" ht="15.75" hidden="false" customHeight="false" outlineLevel="0" collapsed="false">
      <c r="C764" s="0" t="n">
        <v>75.2</v>
      </c>
      <c r="D764" s="3" t="n">
        <f aca="false">D$8*D$10*(1-EXP(-2*$C764/SQRT(PI()*D$9*D$10)))</f>
        <v>0.000521465194555048</v>
      </c>
      <c r="E764" s="3" t="n">
        <f aca="false">E$8*E$10*(1-EXP(-2*$C764/SQRT(PI()*E$9*E$10)))</f>
        <v>0.000521461991152138</v>
      </c>
      <c r="F764" s="3" t="n">
        <f aca="false">F$8*F$10*(1-EXP(-2*$C764/SQRT(PI()*F$9*F$10)))</f>
        <v>0.000521357533656113</v>
      </c>
      <c r="G764" s="3" t="n">
        <f aca="false">G$8*G$10*(1-EXP(-2*$C764/SQRT(PI()*G$9*G$10)))</f>
        <v>0.000260730995576069</v>
      </c>
      <c r="H764" s="3" t="n">
        <f aca="false">H$8*H$10*(1-EXP(-2*$C764/SQRT(PI()*H$9*H$10)))</f>
        <v>5.21465194555048E-005</v>
      </c>
    </row>
    <row r="765" customFormat="false" ht="15.75" hidden="false" customHeight="false" outlineLevel="0" collapsed="false">
      <c r="C765" s="0" t="n">
        <v>75.3</v>
      </c>
      <c r="D765" s="3" t="n">
        <f aca="false">D$8*D$10*(1-EXP(-2*$C765/SQRT(PI()*D$9*D$10)))</f>
        <v>0.000521465194555088</v>
      </c>
      <c r="E765" s="3" t="n">
        <f aca="false">E$8*E$10*(1-EXP(-2*$C765/SQRT(PI()*E$9*E$10)))</f>
        <v>0.000521462041865361</v>
      </c>
      <c r="F765" s="3" t="n">
        <f aca="false">F$8*F$10*(1-EXP(-2*$C765/SQRT(PI()*F$9*F$10)))</f>
        <v>0.000521358741651081</v>
      </c>
      <c r="G765" s="3" t="n">
        <f aca="false">G$8*G$10*(1-EXP(-2*$C765/SQRT(PI()*G$9*G$10)))</f>
        <v>0.000260731020932681</v>
      </c>
      <c r="H765" s="3" t="n">
        <f aca="false">H$8*H$10*(1-EXP(-2*$C765/SQRT(PI()*H$9*H$10)))</f>
        <v>5.21465194555088E-005</v>
      </c>
    </row>
    <row r="766" customFormat="false" ht="15.75" hidden="false" customHeight="false" outlineLevel="0" collapsed="false">
      <c r="C766" s="0" t="n">
        <v>75.4</v>
      </c>
      <c r="D766" s="3" t="n">
        <f aca="false">D$8*D$10*(1-EXP(-2*$C766/SQRT(PI()*D$9*D$10)))</f>
        <v>0.000521465194555127</v>
      </c>
      <c r="E766" s="3" t="n">
        <f aca="false">E$8*E$10*(1-EXP(-2*$C766/SQRT(PI()*E$9*E$10)))</f>
        <v>0.000521462091775742</v>
      </c>
      <c r="F766" s="3" t="n">
        <f aca="false">F$8*F$10*(1-EXP(-2*$C766/SQRT(PI()*F$9*F$10)))</f>
        <v>0.000521359936091901</v>
      </c>
      <c r="G766" s="3" t="n">
        <f aca="false">G$8*G$10*(1-EXP(-2*$C766/SQRT(PI()*G$9*G$10)))</f>
        <v>0.000260731045887871</v>
      </c>
      <c r="H766" s="3" t="n">
        <f aca="false">H$8*H$10*(1-EXP(-2*$C766/SQRT(PI()*H$9*H$10)))</f>
        <v>5.21465194555127E-005</v>
      </c>
    </row>
    <row r="767" customFormat="false" ht="15.75" hidden="false" customHeight="false" outlineLevel="0" collapsed="false">
      <c r="C767" s="0" t="n">
        <v>75.5</v>
      </c>
      <c r="D767" s="3" t="n">
        <f aca="false">D$8*D$10*(1-EXP(-2*$C767/SQRT(PI()*D$9*D$10)))</f>
        <v>0.000521465194555165</v>
      </c>
      <c r="E767" s="3" t="n">
        <f aca="false">E$8*E$10*(1-EXP(-2*$C767/SQRT(PI()*E$9*E$10)))</f>
        <v>0.000521462140895989</v>
      </c>
      <c r="F767" s="3" t="n">
        <f aca="false">F$8*F$10*(1-EXP(-2*$C767/SQRT(PI()*F$9*F$10)))</f>
        <v>0.000521361117130655</v>
      </c>
      <c r="G767" s="3" t="n">
        <f aca="false">G$8*G$10*(1-EXP(-2*$C767/SQRT(PI()*G$9*G$10)))</f>
        <v>0.000260731070447995</v>
      </c>
      <c r="H767" s="3" t="n">
        <f aca="false">H$8*H$10*(1-EXP(-2*$C767/SQRT(PI()*H$9*H$10)))</f>
        <v>5.21465194555165E-005</v>
      </c>
    </row>
    <row r="768" customFormat="false" ht="15.75" hidden="false" customHeight="false" outlineLevel="0" collapsed="false">
      <c r="C768" s="0" t="n">
        <v>75.6</v>
      </c>
      <c r="D768" s="3" t="n">
        <f aca="false">D$8*D$10*(1-EXP(-2*$C768/SQRT(PI()*D$9*D$10)))</f>
        <v>0.000521465194555202</v>
      </c>
      <c r="E768" s="3" t="n">
        <f aca="false">E$8*E$10*(1-EXP(-2*$C768/SQRT(PI()*E$9*E$10)))</f>
        <v>0.000521462189238612</v>
      </c>
      <c r="F768" s="3" t="n">
        <f aca="false">F$8*F$10*(1-EXP(-2*$C768/SQRT(PI()*F$9*F$10)))</f>
        <v>0.000521362284917719</v>
      </c>
      <c r="G768" s="3" t="n">
        <f aca="false">G$8*G$10*(1-EXP(-2*$C768/SQRT(PI()*G$9*G$10)))</f>
        <v>0.000260731094619306</v>
      </c>
      <c r="H768" s="3" t="n">
        <f aca="false">H$8*H$10*(1-EXP(-2*$C768/SQRT(PI()*H$9*H$10)))</f>
        <v>5.21465194555202E-005</v>
      </c>
    </row>
    <row r="769" customFormat="false" ht="15.75" hidden="false" customHeight="false" outlineLevel="0" collapsed="false">
      <c r="C769" s="0" t="n">
        <v>75.7</v>
      </c>
      <c r="D769" s="3" t="n">
        <f aca="false">D$8*D$10*(1-EXP(-2*$C769/SQRT(PI()*D$9*D$10)))</f>
        <v>0.000521465194555237</v>
      </c>
      <c r="E769" s="3" t="n">
        <f aca="false">E$8*E$10*(1-EXP(-2*$C769/SQRT(PI()*E$9*E$10)))</f>
        <v>0.000521462236815921</v>
      </c>
      <c r="F769" s="3" t="n">
        <f aca="false">F$8*F$10*(1-EXP(-2*$C769/SQRT(PI()*F$9*F$10)))</f>
        <v>0.000521363439601782</v>
      </c>
      <c r="G769" s="3" t="n">
        <f aca="false">G$8*G$10*(1-EXP(-2*$C769/SQRT(PI()*G$9*G$10)))</f>
        <v>0.00026073111840796</v>
      </c>
      <c r="H769" s="3" t="n">
        <f aca="false">H$8*H$10*(1-EXP(-2*$C769/SQRT(PI()*H$9*H$10)))</f>
        <v>5.21465194555237E-005</v>
      </c>
    </row>
    <row r="770" customFormat="false" ht="15.75" hidden="false" customHeight="false" outlineLevel="0" collapsed="false">
      <c r="C770" s="0" t="n">
        <v>75.8</v>
      </c>
      <c r="D770" s="3" t="n">
        <f aca="false">D$8*D$10*(1-EXP(-2*$C770/SQRT(PI()*D$9*D$10)))</f>
        <v>0.000521465194555271</v>
      </c>
      <c r="E770" s="3" t="n">
        <f aca="false">E$8*E$10*(1-EXP(-2*$C770/SQRT(PI()*E$9*E$10)))</f>
        <v>0.000521462283640031</v>
      </c>
      <c r="F770" s="3" t="n">
        <f aca="false">F$8*F$10*(1-EXP(-2*$C770/SQRT(PI()*F$9*F$10)))</f>
        <v>0.000521364581329865</v>
      </c>
      <c r="G770" s="3" t="n">
        <f aca="false">G$8*G$10*(1-EXP(-2*$C770/SQRT(PI()*G$9*G$10)))</f>
        <v>0.000260731141820015</v>
      </c>
      <c r="H770" s="3" t="n">
        <f aca="false">H$8*H$10*(1-EXP(-2*$C770/SQRT(PI()*H$9*H$10)))</f>
        <v>5.21465194555271E-005</v>
      </c>
    </row>
    <row r="771" customFormat="false" ht="15.75" hidden="false" customHeight="false" outlineLevel="0" collapsed="false">
      <c r="C771" s="0" t="n">
        <v>75.9</v>
      </c>
      <c r="D771" s="3" t="n">
        <f aca="false">D$8*D$10*(1-EXP(-2*$C771/SQRT(PI()*D$9*D$10)))</f>
        <v>0.000521465194555304</v>
      </c>
      <c r="E771" s="3" t="n">
        <f aca="false">E$8*E$10*(1-EXP(-2*$C771/SQRT(PI()*E$9*E$10)))</f>
        <v>0.000521462329722867</v>
      </c>
      <c r="F771" s="3" t="n">
        <f aca="false">F$8*F$10*(1-EXP(-2*$C771/SQRT(PI()*F$9*F$10)))</f>
        <v>0.000521365710247337</v>
      </c>
      <c r="G771" s="3" t="n">
        <f aca="false">G$8*G$10*(1-EXP(-2*$C771/SQRT(PI()*G$9*G$10)))</f>
        <v>0.000260731164861433</v>
      </c>
      <c r="H771" s="3" t="n">
        <f aca="false">H$8*H$10*(1-EXP(-2*$C771/SQRT(PI()*H$9*H$10)))</f>
        <v>5.21465194555304E-005</v>
      </c>
    </row>
    <row r="772" customFormat="false" ht="15.75" hidden="false" customHeight="false" outlineLevel="0" collapsed="false">
      <c r="C772" s="0" t="n">
        <v>76</v>
      </c>
      <c r="D772" s="3" t="n">
        <f aca="false">D$8*D$10*(1-EXP(-2*$C772/SQRT(PI()*D$9*D$10)))</f>
        <v>0.000521465194555335</v>
      </c>
      <c r="E772" s="3" t="n">
        <f aca="false">E$8*E$10*(1-EXP(-2*$C772/SQRT(PI()*E$9*E$10)))</f>
        <v>0.000521462375076163</v>
      </c>
      <c r="F772" s="3" t="n">
        <f aca="false">F$8*F$10*(1-EXP(-2*$C772/SQRT(PI()*F$9*F$10)))</f>
        <v>0.000521366826497939</v>
      </c>
      <c r="G772" s="3" t="n">
        <f aca="false">G$8*G$10*(1-EXP(-2*$C772/SQRT(PI()*G$9*G$10)))</f>
        <v>0.000260731187538081</v>
      </c>
      <c r="H772" s="3" t="n">
        <f aca="false">H$8*H$10*(1-EXP(-2*$C772/SQRT(PI()*H$9*H$10)))</f>
        <v>5.21465194555335E-005</v>
      </c>
    </row>
    <row r="773" customFormat="false" ht="15.75" hidden="false" customHeight="false" outlineLevel="0" collapsed="false">
      <c r="C773" s="0" t="n">
        <v>76.1</v>
      </c>
      <c r="D773" s="3" t="n">
        <f aca="false">D$8*D$10*(1-EXP(-2*$C773/SQRT(PI()*D$9*D$10)))</f>
        <v>0.000521465194555366</v>
      </c>
      <c r="E773" s="3" t="n">
        <f aca="false">E$8*E$10*(1-EXP(-2*$C773/SQRT(PI()*E$9*E$10)))</f>
        <v>0.000521462419711469</v>
      </c>
      <c r="F773" s="3" t="n">
        <f aca="false">F$8*F$10*(1-EXP(-2*$C773/SQRT(PI()*F$9*F$10)))</f>
        <v>0.000521367930223799</v>
      </c>
      <c r="G773" s="3" t="n">
        <f aca="false">G$8*G$10*(1-EXP(-2*$C773/SQRT(PI()*G$9*G$10)))</f>
        <v>0.000260731209855735</v>
      </c>
      <c r="H773" s="3" t="n">
        <f aca="false">H$8*H$10*(1-EXP(-2*$C773/SQRT(PI()*H$9*H$10)))</f>
        <v>5.21465194555366E-005</v>
      </c>
    </row>
    <row r="774" customFormat="false" ht="15.75" hidden="false" customHeight="false" outlineLevel="0" collapsed="false">
      <c r="C774" s="0" t="n">
        <v>76.2</v>
      </c>
      <c r="D774" s="3" t="n">
        <f aca="false">D$8*D$10*(1-EXP(-2*$C774/SQRT(PI()*D$9*D$10)))</f>
        <v>0.000521465194555395</v>
      </c>
      <c r="E774" s="3" t="n">
        <f aca="false">E$8*E$10*(1-EXP(-2*$C774/SQRT(PI()*E$9*E$10)))</f>
        <v>0.000521462463640153</v>
      </c>
      <c r="F774" s="3" t="n">
        <f aca="false">F$8*F$10*(1-EXP(-2*$C774/SQRT(PI()*F$9*F$10)))</f>
        <v>0.000521369021565447</v>
      </c>
      <c r="G774" s="3" t="n">
        <f aca="false">G$8*G$10*(1-EXP(-2*$C774/SQRT(PI()*G$9*G$10)))</f>
        <v>0.000260731231820076</v>
      </c>
      <c r="H774" s="3" t="n">
        <f aca="false">H$8*H$10*(1-EXP(-2*$C774/SQRT(PI()*H$9*H$10)))</f>
        <v>5.21465194555395E-005</v>
      </c>
    </row>
    <row r="775" customFormat="false" ht="15.75" hidden="false" customHeight="false" outlineLevel="0" collapsed="false">
      <c r="C775" s="0" t="n">
        <v>76.3</v>
      </c>
      <c r="D775" s="3" t="n">
        <f aca="false">D$8*D$10*(1-EXP(-2*$C775/SQRT(PI()*D$9*D$10)))</f>
        <v>0.000521465194555424</v>
      </c>
      <c r="E775" s="3" t="n">
        <f aca="false">E$8*E$10*(1-EXP(-2*$C775/SQRT(PI()*E$9*E$10)))</f>
        <v>0.000521462506873399</v>
      </c>
      <c r="F775" s="3" t="n">
        <f aca="false">F$8*F$10*(1-EXP(-2*$C775/SQRT(PI()*F$9*F$10)))</f>
        <v>0.00052137010066184</v>
      </c>
      <c r="G775" s="3" t="n">
        <f aca="false">G$8*G$10*(1-EXP(-2*$C775/SQRT(PI()*G$9*G$10)))</f>
        <v>0.000260731253436699</v>
      </c>
      <c r="H775" s="3" t="n">
        <f aca="false">H$8*H$10*(1-EXP(-2*$C775/SQRT(PI()*H$9*H$10)))</f>
        <v>5.21465194555424E-005</v>
      </c>
    </row>
    <row r="776" customFormat="false" ht="15.75" hidden="false" customHeight="false" outlineLevel="0" collapsed="false">
      <c r="C776" s="0" t="n">
        <v>76.4</v>
      </c>
      <c r="D776" s="3" t="n">
        <f aca="false">D$8*D$10*(1-EXP(-2*$C776/SQRT(PI()*D$9*D$10)))</f>
        <v>0.000521465194555451</v>
      </c>
      <c r="E776" s="3" t="n">
        <f aca="false">E$8*E$10*(1-EXP(-2*$C776/SQRT(PI()*E$9*E$10)))</f>
        <v>0.000521462549422218</v>
      </c>
      <c r="F776" s="3" t="n">
        <f aca="false">F$8*F$10*(1-EXP(-2*$C776/SQRT(PI()*F$9*F$10)))</f>
        <v>0.000521371167650374</v>
      </c>
      <c r="G776" s="3" t="n">
        <f aca="false">G$8*G$10*(1-EXP(-2*$C776/SQRT(PI()*G$9*G$10)))</f>
        <v>0.000260731274711109</v>
      </c>
      <c r="H776" s="3" t="n">
        <f aca="false">H$8*H$10*(1-EXP(-2*$C776/SQRT(PI()*H$9*H$10)))</f>
        <v>5.21465194555451E-005</v>
      </c>
    </row>
    <row r="777" customFormat="false" ht="15.75" hidden="false" customHeight="false" outlineLevel="0" collapsed="false">
      <c r="C777" s="0" t="n">
        <v>76.5</v>
      </c>
      <c r="D777" s="3" t="n">
        <f aca="false">D$8*D$10*(1-EXP(-2*$C777/SQRT(PI()*D$9*D$10)))</f>
        <v>0.000521465194555478</v>
      </c>
      <c r="E777" s="3" t="n">
        <f aca="false">E$8*E$10*(1-EXP(-2*$C777/SQRT(PI()*E$9*E$10)))</f>
        <v>0.000521462591297445</v>
      </c>
      <c r="F777" s="3" t="n">
        <f aca="false">F$8*F$10*(1-EXP(-2*$C777/SQRT(PI()*F$9*F$10)))</f>
        <v>0.000521372222666904</v>
      </c>
      <c r="G777" s="3" t="n">
        <f aca="false">G$8*G$10*(1-EXP(-2*$C777/SQRT(PI()*G$9*G$10)))</f>
        <v>0.000260731295648722</v>
      </c>
      <c r="H777" s="3" t="n">
        <f aca="false">H$8*H$10*(1-EXP(-2*$C777/SQRT(PI()*H$9*H$10)))</f>
        <v>5.21465194555478E-005</v>
      </c>
    </row>
    <row r="778" customFormat="false" ht="15.75" hidden="false" customHeight="false" outlineLevel="0" collapsed="false">
      <c r="C778" s="0" t="n">
        <v>76.6</v>
      </c>
      <c r="D778" s="3" t="n">
        <f aca="false">D$8*D$10*(1-EXP(-2*$C778/SQRT(PI()*D$9*D$10)))</f>
        <v>0.000521465194555503</v>
      </c>
      <c r="E778" s="3" t="n">
        <f aca="false">E$8*E$10*(1-EXP(-2*$C778/SQRT(PI()*E$9*E$10)))</f>
        <v>0.000521462632509743</v>
      </c>
      <c r="F778" s="3" t="n">
        <f aca="false">F$8*F$10*(1-EXP(-2*$C778/SQRT(PI()*F$9*F$10)))</f>
        <v>0.000521373265845759</v>
      </c>
      <c r="G778" s="3" t="n">
        <f aca="false">G$8*G$10*(1-EXP(-2*$C778/SQRT(PI()*G$9*G$10)))</f>
        <v>0.000260731316254871</v>
      </c>
      <c r="H778" s="3" t="n">
        <f aca="false">H$8*H$10*(1-EXP(-2*$C778/SQRT(PI()*H$9*H$10)))</f>
        <v>5.21465194555503E-005</v>
      </c>
    </row>
    <row r="779" customFormat="false" ht="15.75" hidden="false" customHeight="false" outlineLevel="0" collapsed="false">
      <c r="C779" s="0" t="n">
        <v>76.7</v>
      </c>
      <c r="D779" s="3" t="n">
        <f aca="false">D$8*D$10*(1-EXP(-2*$C779/SQRT(PI()*D$9*D$10)))</f>
        <v>0.000521465194555528</v>
      </c>
      <c r="E779" s="3" t="n">
        <f aca="false">E$8*E$10*(1-EXP(-2*$C779/SQRT(PI()*E$9*E$10)))</f>
        <v>0.000521462673069608</v>
      </c>
      <c r="F779" s="3" t="n">
        <f aca="false">F$8*F$10*(1-EXP(-2*$C779/SQRT(PI()*F$9*F$10)))</f>
        <v>0.000521374297319763</v>
      </c>
      <c r="G779" s="3" t="n">
        <f aca="false">G$8*G$10*(1-EXP(-2*$C779/SQRT(PI()*G$9*G$10)))</f>
        <v>0.000260731336534804</v>
      </c>
      <c r="H779" s="3" t="n">
        <f aca="false">H$8*H$10*(1-EXP(-2*$C779/SQRT(PI()*H$9*H$10)))</f>
        <v>5.21465194555528E-005</v>
      </c>
    </row>
    <row r="780" customFormat="false" ht="15.75" hidden="false" customHeight="false" outlineLevel="0" collapsed="false">
      <c r="C780" s="0" t="n">
        <v>76.8</v>
      </c>
      <c r="D780" s="3" t="n">
        <f aca="false">D$8*D$10*(1-EXP(-2*$C780/SQRT(PI()*D$9*D$10)))</f>
        <v>0.000521465194555551</v>
      </c>
      <c r="E780" s="3" t="n">
        <f aca="false">E$8*E$10*(1-EXP(-2*$C780/SQRT(PI()*E$9*E$10)))</f>
        <v>0.000521462712987367</v>
      </c>
      <c r="F780" s="3" t="n">
        <f aca="false">F$8*F$10*(1-EXP(-2*$C780/SQRT(PI()*F$9*F$10)))</f>
        <v>0.000521375317220249</v>
      </c>
      <c r="G780" s="3" t="n">
        <f aca="false">G$8*G$10*(1-EXP(-2*$C780/SQRT(PI()*G$9*G$10)))</f>
        <v>0.000260731356493684</v>
      </c>
      <c r="H780" s="3" t="n">
        <f aca="false">H$8*H$10*(1-EXP(-2*$C780/SQRT(PI()*H$9*H$10)))</f>
        <v>5.21465194555552E-005</v>
      </c>
    </row>
    <row r="781" customFormat="false" ht="15.75" hidden="false" customHeight="false" outlineLevel="0" collapsed="false">
      <c r="C781" s="0" t="n">
        <v>76.9</v>
      </c>
      <c r="D781" s="3" t="n">
        <f aca="false">D$8*D$10*(1-EXP(-2*$C781/SQRT(PI()*D$9*D$10)))</f>
        <v>0.000521465194555574</v>
      </c>
      <c r="E781" s="3" t="n">
        <f aca="false">E$8*E$10*(1-EXP(-2*$C781/SQRT(PI()*E$9*E$10)))</f>
        <v>0.000521462752273188</v>
      </c>
      <c r="F781" s="3" t="n">
        <f aca="false">F$8*F$10*(1-EXP(-2*$C781/SQRT(PI()*F$9*F$10)))</f>
        <v>0.000521376325677075</v>
      </c>
      <c r="G781" s="3" t="n">
        <f aca="false">G$8*G$10*(1-EXP(-2*$C781/SQRT(PI()*G$9*G$10)))</f>
        <v>0.000260731376136594</v>
      </c>
      <c r="H781" s="3" t="n">
        <f aca="false">H$8*H$10*(1-EXP(-2*$C781/SQRT(PI()*H$9*H$10)))</f>
        <v>5.21465194555574E-005</v>
      </c>
    </row>
    <row r="782" customFormat="false" ht="15.75" hidden="false" customHeight="false" outlineLevel="0" collapsed="false">
      <c r="C782" s="0" t="n">
        <v>77</v>
      </c>
      <c r="D782" s="3" t="n">
        <f aca="false">D$8*D$10*(1-EXP(-2*$C782/SQRT(PI()*D$9*D$10)))</f>
        <v>0.000521465194555597</v>
      </c>
      <c r="E782" s="3" t="n">
        <f aca="false">E$8*E$10*(1-EXP(-2*$C782/SQRT(PI()*E$9*E$10)))</f>
        <v>0.000521462790937072</v>
      </c>
      <c r="F782" s="3" t="n">
        <f aca="false">F$8*F$10*(1-EXP(-2*$C782/SQRT(PI()*F$9*F$10)))</f>
        <v>0.000521377322818645</v>
      </c>
      <c r="G782" s="3" t="n">
        <f aca="false">G$8*G$10*(1-EXP(-2*$C782/SQRT(PI()*G$9*G$10)))</f>
        <v>0.000260731395468536</v>
      </c>
      <c r="H782" s="3" t="n">
        <f aca="false">H$8*H$10*(1-EXP(-2*$C782/SQRT(PI()*H$9*H$10)))</f>
        <v>5.21465194555596E-005</v>
      </c>
    </row>
    <row r="783" customFormat="false" ht="15.75" hidden="false" customHeight="false" outlineLevel="0" collapsed="false">
      <c r="C783" s="0" t="n">
        <v>77.1</v>
      </c>
      <c r="D783" s="3" t="n">
        <f aca="false">D$8*D$10*(1-EXP(-2*$C783/SQRT(PI()*D$9*D$10)))</f>
        <v>0.000521465194555618</v>
      </c>
      <c r="E783" s="3" t="n">
        <f aca="false">E$8*E$10*(1-EXP(-2*$C783/SQRT(PI()*E$9*E$10)))</f>
        <v>0.000521462828988867</v>
      </c>
      <c r="F783" s="3" t="n">
        <f aca="false">F$8*F$10*(1-EXP(-2*$C783/SQRT(PI()*F$9*F$10)))</f>
        <v>0.000521378308771918</v>
      </c>
      <c r="G783" s="3" t="n">
        <f aca="false">G$8*G$10*(1-EXP(-2*$C783/SQRT(PI()*G$9*G$10)))</f>
        <v>0.000260731414494434</v>
      </c>
      <c r="H783" s="3" t="n">
        <f aca="false">H$8*H$10*(1-EXP(-2*$C783/SQRT(PI()*H$9*H$10)))</f>
        <v>5.21465194555618E-005</v>
      </c>
    </row>
    <row r="784" customFormat="false" ht="15.75" hidden="false" customHeight="false" outlineLevel="0" collapsed="false">
      <c r="C784" s="0" t="n">
        <v>77.2</v>
      </c>
      <c r="D784" s="3" t="n">
        <f aca="false">D$8*D$10*(1-EXP(-2*$C784/SQRT(PI()*D$9*D$10)))</f>
        <v>0.000521465194555638</v>
      </c>
      <c r="E784" s="3" t="n">
        <f aca="false">E$8*E$10*(1-EXP(-2*$C784/SQRT(PI()*E$9*E$10)))</f>
        <v>0.000521462866438263</v>
      </c>
      <c r="F784" s="3" t="n">
        <f aca="false">F$8*F$10*(1-EXP(-2*$C784/SQRT(PI()*F$9*F$10)))</f>
        <v>0.000521379283662433</v>
      </c>
      <c r="G784" s="3" t="n">
        <f aca="false">G$8*G$10*(1-EXP(-2*$C784/SQRT(PI()*G$9*G$10)))</f>
        <v>0.000260731433219131</v>
      </c>
      <c r="H784" s="3" t="n">
        <f aca="false">H$8*H$10*(1-EXP(-2*$C784/SQRT(PI()*H$9*H$10)))</f>
        <v>5.21465194555638E-005</v>
      </c>
    </row>
    <row r="785" customFormat="false" ht="15.75" hidden="false" customHeight="false" outlineLevel="0" collapsed="false">
      <c r="C785" s="0" t="n">
        <v>77.3</v>
      </c>
      <c r="D785" s="3" t="n">
        <f aca="false">D$8*D$10*(1-EXP(-2*$C785/SQRT(PI()*D$9*D$10)))</f>
        <v>0.000521465194555658</v>
      </c>
      <c r="E785" s="3" t="n">
        <f aca="false">E$8*E$10*(1-EXP(-2*$C785/SQRT(PI()*E$9*E$10)))</f>
        <v>0.000521462903294795</v>
      </c>
      <c r="F785" s="3" t="n">
        <f aca="false">F$8*F$10*(1-EXP(-2*$C785/SQRT(PI()*F$9*F$10)))</f>
        <v>0.000521380247614316</v>
      </c>
      <c r="G785" s="3" t="n">
        <f aca="false">G$8*G$10*(1-EXP(-2*$C785/SQRT(PI()*G$9*G$10)))</f>
        <v>0.000260731451647398</v>
      </c>
      <c r="H785" s="3" t="n">
        <f aca="false">H$8*H$10*(1-EXP(-2*$C785/SQRT(PI()*H$9*H$10)))</f>
        <v>5.21465194555658E-005</v>
      </c>
    </row>
    <row r="786" customFormat="false" ht="15.75" hidden="false" customHeight="false" outlineLevel="0" collapsed="false">
      <c r="C786" s="0" t="n">
        <v>77.4</v>
      </c>
      <c r="D786" s="3" t="n">
        <f aca="false">D$8*D$10*(1-EXP(-2*$C786/SQRT(PI()*D$9*D$10)))</f>
        <v>0.000521465194555678</v>
      </c>
      <c r="E786" s="3" t="n">
        <f aca="false">E$8*E$10*(1-EXP(-2*$C786/SQRT(PI()*E$9*E$10)))</f>
        <v>0.000521462939567851</v>
      </c>
      <c r="F786" s="3" t="n">
        <f aca="false">F$8*F$10*(1-EXP(-2*$C786/SQRT(PI()*F$9*F$10)))</f>
        <v>0.000521381200750305</v>
      </c>
      <c r="G786" s="3" t="n">
        <f aca="false">G$8*G$10*(1-EXP(-2*$C786/SQRT(PI()*G$9*G$10)))</f>
        <v>0.000260731469783925</v>
      </c>
      <c r="H786" s="3" t="n">
        <f aca="false">H$8*H$10*(1-EXP(-2*$C786/SQRT(PI()*H$9*H$10)))</f>
        <v>5.21465194555678E-005</v>
      </c>
    </row>
    <row r="787" customFormat="false" ht="15.75" hidden="false" customHeight="false" outlineLevel="0" collapsed="false">
      <c r="C787" s="0" t="n">
        <v>77.5</v>
      </c>
      <c r="D787" s="3" t="n">
        <f aca="false">D$8*D$10*(1-EXP(-2*$C787/SQRT(PI()*D$9*D$10)))</f>
        <v>0.000521465194555696</v>
      </c>
      <c r="E787" s="3" t="n">
        <f aca="false">E$8*E$10*(1-EXP(-2*$C787/SQRT(PI()*E$9*E$10)))</f>
        <v>0.000521462975266666</v>
      </c>
      <c r="F787" s="3" t="n">
        <f aca="false">F$8*F$10*(1-EXP(-2*$C787/SQRT(PI()*F$9*F$10)))</f>
        <v>0.000521382143191756</v>
      </c>
      <c r="G787" s="3" t="n">
        <f aca="false">G$8*G$10*(1-EXP(-2*$C787/SQRT(PI()*G$9*G$10)))</f>
        <v>0.000260731487633333</v>
      </c>
      <c r="H787" s="3" t="n">
        <f aca="false">H$8*H$10*(1-EXP(-2*$C787/SQRT(PI()*H$9*H$10)))</f>
        <v>5.21465194555696E-005</v>
      </c>
    </row>
    <row r="788" customFormat="false" ht="15.75" hidden="false" customHeight="false" outlineLevel="0" collapsed="false">
      <c r="C788" s="0" t="n">
        <v>77.6</v>
      </c>
      <c r="D788" s="3" t="n">
        <f aca="false">D$8*D$10*(1-EXP(-2*$C788/SQRT(PI()*D$9*D$10)))</f>
        <v>0.000521465194555714</v>
      </c>
      <c r="E788" s="3" t="n">
        <f aca="false">E$8*E$10*(1-EXP(-2*$C788/SQRT(PI()*E$9*E$10)))</f>
        <v>0.000521463010400331</v>
      </c>
      <c r="F788" s="3" t="n">
        <f aca="false">F$8*F$10*(1-EXP(-2*$C788/SQRT(PI()*F$9*F$10)))</f>
        <v>0.000521383075058667</v>
      </c>
      <c r="G788" s="3" t="n">
        <f aca="false">G$8*G$10*(1-EXP(-2*$C788/SQRT(PI()*G$9*G$10)))</f>
        <v>0.000260731505200165</v>
      </c>
      <c r="H788" s="3" t="n">
        <f aca="false">H$8*H$10*(1-EXP(-2*$C788/SQRT(PI()*H$9*H$10)))</f>
        <v>5.21465194555714E-005</v>
      </c>
    </row>
    <row r="789" customFormat="false" ht="15.75" hidden="false" customHeight="false" outlineLevel="0" collapsed="false">
      <c r="C789" s="0" t="n">
        <v>77.7</v>
      </c>
      <c r="D789" s="3" t="n">
        <f aca="false">D$8*D$10*(1-EXP(-2*$C789/SQRT(PI()*D$9*D$10)))</f>
        <v>0.000521465194555731</v>
      </c>
      <c r="E789" s="3" t="n">
        <f aca="false">E$8*E$10*(1-EXP(-2*$C789/SQRT(PI()*E$9*E$10)))</f>
        <v>0.000521463044977794</v>
      </c>
      <c r="F789" s="3" t="n">
        <f aca="false">F$8*F$10*(1-EXP(-2*$C789/SQRT(PI()*F$9*F$10)))</f>
        <v>0.000521383996469688</v>
      </c>
      <c r="G789" s="3" t="n">
        <f aca="false">G$8*G$10*(1-EXP(-2*$C789/SQRT(PI()*G$9*G$10)))</f>
        <v>0.000260731522488897</v>
      </c>
      <c r="H789" s="3" t="n">
        <f aca="false">H$8*H$10*(1-EXP(-2*$C789/SQRT(PI()*H$9*H$10)))</f>
        <v>5.21465194555731E-005</v>
      </c>
    </row>
    <row r="790" customFormat="false" ht="15.75" hidden="false" customHeight="false" outlineLevel="0" collapsed="false">
      <c r="C790" s="0" t="n">
        <v>77.8</v>
      </c>
      <c r="D790" s="3" t="n">
        <f aca="false">D$8*D$10*(1-EXP(-2*$C790/SQRT(PI()*D$9*D$10)))</f>
        <v>0.000521465194555748</v>
      </c>
      <c r="E790" s="3" t="n">
        <f aca="false">E$8*E$10*(1-EXP(-2*$C790/SQRT(PI()*E$9*E$10)))</f>
        <v>0.00052146307900786</v>
      </c>
      <c r="F790" s="3" t="n">
        <f aca="false">F$8*F$10*(1-EXP(-2*$C790/SQRT(PI()*F$9*F$10)))</f>
        <v>0.000521384907542137</v>
      </c>
      <c r="G790" s="3" t="n">
        <f aca="false">G$8*G$10*(1-EXP(-2*$C790/SQRT(PI()*G$9*G$10)))</f>
        <v>0.00026073153950393</v>
      </c>
      <c r="H790" s="3" t="n">
        <f aca="false">H$8*H$10*(1-EXP(-2*$C790/SQRT(PI()*H$9*H$10)))</f>
        <v>5.21465194555748E-005</v>
      </c>
    </row>
    <row r="791" customFormat="false" ht="15.75" hidden="false" customHeight="false" outlineLevel="0" collapsed="false">
      <c r="C791" s="0" t="n">
        <v>77.9</v>
      </c>
      <c r="D791" s="3" t="n">
        <f aca="false">D$8*D$10*(1-EXP(-2*$C791/SQRT(PI()*D$9*D$10)))</f>
        <v>0.000521465194555764</v>
      </c>
      <c r="E791" s="3" t="n">
        <f aca="false">E$8*E$10*(1-EXP(-2*$C791/SQRT(PI()*E$9*E$10)))</f>
        <v>0.000521463112499194</v>
      </c>
      <c r="F791" s="3" t="n">
        <f aca="false">F$8*F$10*(1-EXP(-2*$C791/SQRT(PI()*F$9*F$10)))</f>
        <v>0.000521385808392019</v>
      </c>
      <c r="G791" s="3" t="n">
        <f aca="false">G$8*G$10*(1-EXP(-2*$C791/SQRT(PI()*G$9*G$10)))</f>
        <v>0.000260731556249597</v>
      </c>
      <c r="H791" s="3" t="n">
        <f aca="false">H$8*H$10*(1-EXP(-2*$C791/SQRT(PI()*H$9*H$10)))</f>
        <v>5.21465194555764E-005</v>
      </c>
    </row>
    <row r="792" customFormat="false" ht="15.75" hidden="false" customHeight="false" outlineLevel="0" collapsed="false">
      <c r="C792" s="0" t="n">
        <v>78</v>
      </c>
      <c r="D792" s="3" t="n">
        <f aca="false">D$8*D$10*(1-EXP(-2*$C792/SQRT(PI()*D$9*D$10)))</f>
        <v>0.000521465194555779</v>
      </c>
      <c r="E792" s="3" t="n">
        <f aca="false">E$8*E$10*(1-EXP(-2*$C792/SQRT(PI()*E$9*E$10)))</f>
        <v>0.000521463145460326</v>
      </c>
      <c r="F792" s="3" t="n">
        <f aca="false">F$8*F$10*(1-EXP(-2*$C792/SQRT(PI()*F$9*F$10)))</f>
        <v>0.000521386699134032</v>
      </c>
      <c r="G792" s="3" t="n">
        <f aca="false">G$8*G$10*(1-EXP(-2*$C792/SQRT(PI()*G$9*G$10)))</f>
        <v>0.000260731572730163</v>
      </c>
      <c r="H792" s="3" t="n">
        <f aca="false">H$8*H$10*(1-EXP(-2*$C792/SQRT(PI()*H$9*H$10)))</f>
        <v>5.21465194555779E-005</v>
      </c>
    </row>
    <row r="793" customFormat="false" ht="15.75" hidden="false" customHeight="false" outlineLevel="0" collapsed="false">
      <c r="C793" s="0" t="n">
        <v>78.1</v>
      </c>
      <c r="D793" s="3" t="n">
        <f aca="false">D$8*D$10*(1-EXP(-2*$C793/SQRT(PI()*D$9*D$10)))</f>
        <v>0.000521465194555794</v>
      </c>
      <c r="E793" s="3" t="n">
        <f aca="false">E$8*E$10*(1-EXP(-2*$C793/SQRT(PI()*E$9*E$10)))</f>
        <v>0.000521463177899648</v>
      </c>
      <c r="F793" s="3" t="n">
        <f aca="false">F$8*F$10*(1-EXP(-2*$C793/SQRT(PI()*F$9*F$10)))</f>
        <v>0.000521387579881592</v>
      </c>
      <c r="G793" s="3" t="n">
        <f aca="false">G$8*G$10*(1-EXP(-2*$C793/SQRT(PI()*G$9*G$10)))</f>
        <v>0.000260731588949824</v>
      </c>
      <c r="H793" s="3" t="n">
        <f aca="false">H$8*H$10*(1-EXP(-2*$C793/SQRT(PI()*H$9*H$10)))</f>
        <v>5.21465194555794E-005</v>
      </c>
    </row>
    <row r="794" customFormat="false" ht="15.75" hidden="false" customHeight="false" outlineLevel="0" collapsed="false">
      <c r="C794" s="0" t="n">
        <v>78.2</v>
      </c>
      <c r="D794" s="3" t="n">
        <f aca="false">D$8*D$10*(1-EXP(-2*$C794/SQRT(PI()*D$9*D$10)))</f>
        <v>0.000521465194555809</v>
      </c>
      <c r="E794" s="3" t="n">
        <f aca="false">E$8*E$10*(1-EXP(-2*$C794/SQRT(PI()*E$9*E$10)))</f>
        <v>0.000521463209825423</v>
      </c>
      <c r="F794" s="3" t="n">
        <f aca="false">F$8*F$10*(1-EXP(-2*$C794/SQRT(PI()*F$9*F$10)))</f>
        <v>0.00052138845074684</v>
      </c>
      <c r="G794" s="3" t="n">
        <f aca="false">G$8*G$10*(1-EXP(-2*$C794/SQRT(PI()*G$9*G$10)))</f>
        <v>0.000260731604912711</v>
      </c>
      <c r="H794" s="3" t="n">
        <f aca="false">H$8*H$10*(1-EXP(-2*$C794/SQRT(PI()*H$9*H$10)))</f>
        <v>5.21465194555809E-005</v>
      </c>
    </row>
    <row r="795" customFormat="false" ht="15.75" hidden="false" customHeight="false" outlineLevel="0" collapsed="false">
      <c r="C795" s="0" t="n">
        <v>78.3</v>
      </c>
      <c r="D795" s="3" t="n">
        <f aca="false">D$8*D$10*(1-EXP(-2*$C795/SQRT(PI()*D$9*D$10)))</f>
        <v>0.000521465194555823</v>
      </c>
      <c r="E795" s="3" t="n">
        <f aca="false">E$8*E$10*(1-EXP(-2*$C795/SQRT(PI()*E$9*E$10)))</f>
        <v>0.000521463241245779</v>
      </c>
      <c r="F795" s="3" t="n">
        <f aca="false">F$8*F$10*(1-EXP(-2*$C795/SQRT(PI()*F$9*F$10)))</f>
        <v>0.000521389311840659</v>
      </c>
      <c r="G795" s="3" t="n">
        <f aca="false">G$8*G$10*(1-EXP(-2*$C795/SQRT(PI()*G$9*G$10)))</f>
        <v>0.000260731620622889</v>
      </c>
      <c r="H795" s="3" t="n">
        <f aca="false">H$8*H$10*(1-EXP(-2*$C795/SQRT(PI()*H$9*H$10)))</f>
        <v>5.21465194555823E-005</v>
      </c>
    </row>
    <row r="796" customFormat="false" ht="15.75" hidden="false" customHeight="false" outlineLevel="0" collapsed="false">
      <c r="C796" s="0" t="n">
        <v>78.4</v>
      </c>
      <c r="D796" s="3" t="n">
        <f aca="false">D$8*D$10*(1-EXP(-2*$C796/SQRT(PI()*D$9*D$10)))</f>
        <v>0.000521465194555836</v>
      </c>
      <c r="E796" s="3" t="n">
        <f aca="false">E$8*E$10*(1-EXP(-2*$C796/SQRT(PI()*E$9*E$10)))</f>
        <v>0.000521463272168718</v>
      </c>
      <c r="F796" s="3" t="n">
        <f aca="false">F$8*F$10*(1-EXP(-2*$C796/SQRT(PI()*F$9*F$10)))</f>
        <v>0.000521390163272688</v>
      </c>
      <c r="G796" s="3" t="n">
        <f aca="false">G$8*G$10*(1-EXP(-2*$C796/SQRT(PI()*G$9*G$10)))</f>
        <v>0.000260731636084359</v>
      </c>
      <c r="H796" s="3" t="n">
        <f aca="false">H$8*H$10*(1-EXP(-2*$C796/SQRT(PI()*H$9*H$10)))</f>
        <v>5.21465194555836E-005</v>
      </c>
    </row>
    <row r="797" customFormat="false" ht="15.75" hidden="false" customHeight="false" outlineLevel="0" collapsed="false">
      <c r="C797" s="0" t="n">
        <v>78.5</v>
      </c>
      <c r="D797" s="3" t="n">
        <f aca="false">D$8*D$10*(1-EXP(-2*$C797/SQRT(PI()*D$9*D$10)))</f>
        <v>0.000521465194555849</v>
      </c>
      <c r="E797" s="3" t="n">
        <f aca="false">E$8*E$10*(1-EXP(-2*$C797/SQRT(PI()*E$9*E$10)))</f>
        <v>0.000521463302602115</v>
      </c>
      <c r="F797" s="3" t="n">
        <f aca="false">F$8*F$10*(1-EXP(-2*$C797/SQRT(PI()*F$9*F$10)))</f>
        <v>0.000521391005151336</v>
      </c>
      <c r="G797" s="3" t="n">
        <f aca="false">G$8*G$10*(1-EXP(-2*$C797/SQRT(PI()*G$9*G$10)))</f>
        <v>0.000260731651301057</v>
      </c>
      <c r="H797" s="3" t="n">
        <f aca="false">H$8*H$10*(1-EXP(-2*$C797/SQRT(PI()*H$9*H$10)))</f>
        <v>5.21465194555849E-005</v>
      </c>
    </row>
    <row r="798" customFormat="false" ht="15.75" hidden="false" customHeight="false" outlineLevel="0" collapsed="false">
      <c r="C798" s="0" t="n">
        <v>78.6</v>
      </c>
      <c r="D798" s="3" t="n">
        <f aca="false">D$8*D$10*(1-EXP(-2*$C798/SQRT(PI()*D$9*D$10)))</f>
        <v>0.000521465194555861</v>
      </c>
      <c r="E798" s="3" t="n">
        <f aca="false">E$8*E$10*(1-EXP(-2*$C798/SQRT(PI()*E$9*E$10)))</f>
        <v>0.000521463332553719</v>
      </c>
      <c r="F798" s="3" t="n">
        <f aca="false">F$8*F$10*(1-EXP(-2*$C798/SQRT(PI()*F$9*F$10)))</f>
        <v>0.000521391837583795</v>
      </c>
      <c r="G798" s="3" t="n">
        <f aca="false">G$8*G$10*(1-EXP(-2*$C798/SQRT(PI()*G$9*G$10)))</f>
        <v>0.000260731666276859</v>
      </c>
      <c r="H798" s="3" t="n">
        <f aca="false">H$8*H$10*(1-EXP(-2*$C798/SQRT(PI()*H$9*H$10)))</f>
        <v>5.21465194555862E-005</v>
      </c>
    </row>
    <row r="799" customFormat="false" ht="15.75" hidden="false" customHeight="false" outlineLevel="0" collapsed="false">
      <c r="C799" s="0" t="n">
        <v>78.7</v>
      </c>
      <c r="D799" s="3" t="n">
        <f aca="false">D$8*D$10*(1-EXP(-2*$C799/SQRT(PI()*D$9*D$10)))</f>
        <v>0.000521465194555874</v>
      </c>
      <c r="E799" s="3" t="n">
        <f aca="false">E$8*E$10*(1-EXP(-2*$C799/SQRT(PI()*E$9*E$10)))</f>
        <v>0.000521463362031158</v>
      </c>
      <c r="F799" s="3" t="n">
        <f aca="false">F$8*F$10*(1-EXP(-2*$C799/SQRT(PI()*F$9*F$10)))</f>
        <v>0.000521392660676055</v>
      </c>
      <c r="G799" s="3" t="n">
        <f aca="false">G$8*G$10*(1-EXP(-2*$C799/SQRT(PI()*G$9*G$10)))</f>
        <v>0.000260731681015579</v>
      </c>
      <c r="H799" s="3" t="n">
        <f aca="false">H$8*H$10*(1-EXP(-2*$C799/SQRT(PI()*H$9*H$10)))</f>
        <v>5.21465194555874E-005</v>
      </c>
    </row>
    <row r="800" customFormat="false" ht="15.75" hidden="false" customHeight="false" outlineLevel="0" collapsed="false">
      <c r="C800" s="0" t="n">
        <v>78.8</v>
      </c>
      <c r="D800" s="3" t="n">
        <f aca="false">D$8*D$10*(1-EXP(-2*$C800/SQRT(PI()*D$9*D$10)))</f>
        <v>0.000521465194555885</v>
      </c>
      <c r="E800" s="3" t="n">
        <f aca="false">E$8*E$10*(1-EXP(-2*$C800/SQRT(PI()*E$9*E$10)))</f>
        <v>0.000521463391041939</v>
      </c>
      <c r="F800" s="3" t="n">
        <f aca="false">F$8*F$10*(1-EXP(-2*$C800/SQRT(PI()*F$9*F$10)))</f>
        <v>0.000521393474532917</v>
      </c>
      <c r="G800" s="3" t="n">
        <f aca="false">G$8*G$10*(1-EXP(-2*$C800/SQRT(PI()*G$9*G$10)))</f>
        <v>0.000260731695520969</v>
      </c>
      <c r="H800" s="3" t="n">
        <f aca="false">H$8*H$10*(1-EXP(-2*$C800/SQRT(PI()*H$9*H$10)))</f>
        <v>5.21465194555885E-005</v>
      </c>
    </row>
    <row r="801" customFormat="false" ht="15.75" hidden="false" customHeight="false" outlineLevel="0" collapsed="false">
      <c r="C801" s="0" t="n">
        <v>78.9</v>
      </c>
      <c r="D801" s="3" t="n">
        <f aca="false">D$8*D$10*(1-EXP(-2*$C801/SQRT(PI()*D$9*D$10)))</f>
        <v>0.000521465194555896</v>
      </c>
      <c r="E801" s="3" t="n">
        <f aca="false">E$8*E$10*(1-EXP(-2*$C801/SQRT(PI()*E$9*E$10)))</f>
        <v>0.000521463419593449</v>
      </c>
      <c r="F801" s="3" t="n">
        <f aca="false">F$8*F$10*(1-EXP(-2*$C801/SQRT(PI()*F$9*F$10)))</f>
        <v>0.000521394279258005</v>
      </c>
      <c r="G801" s="3" t="n">
        <f aca="false">G$8*G$10*(1-EXP(-2*$C801/SQRT(PI()*G$9*G$10)))</f>
        <v>0.000260731709796724</v>
      </c>
      <c r="H801" s="3" t="n">
        <f aca="false">H$8*H$10*(1-EXP(-2*$C801/SQRT(PI()*H$9*H$10)))</f>
        <v>5.21465194555896E-005</v>
      </c>
    </row>
    <row r="802" customFormat="false" ht="15.75" hidden="false" customHeight="false" outlineLevel="0" collapsed="false">
      <c r="C802" s="0" t="n">
        <v>79</v>
      </c>
      <c r="D802" s="3" t="n">
        <f aca="false">D$8*D$10*(1-EXP(-2*$C802/SQRT(PI()*D$9*D$10)))</f>
        <v>0.000521465194555907</v>
      </c>
      <c r="E802" s="3" t="n">
        <f aca="false">E$8*E$10*(1-EXP(-2*$C802/SQRT(PI()*E$9*E$10)))</f>
        <v>0.000521463447692958</v>
      </c>
      <c r="F802" s="3" t="n">
        <f aca="false">F$8*F$10*(1-EXP(-2*$C802/SQRT(PI()*F$9*F$10)))</f>
        <v>0.00052139507495378</v>
      </c>
      <c r="G802" s="3" t="n">
        <f aca="false">G$8*G$10*(1-EXP(-2*$C802/SQRT(PI()*G$9*G$10)))</f>
        <v>0.000260731723846479</v>
      </c>
      <c r="H802" s="3" t="n">
        <f aca="false">H$8*H$10*(1-EXP(-2*$C802/SQRT(PI()*H$9*H$10)))</f>
        <v>5.21465194555907E-005</v>
      </c>
    </row>
    <row r="803" customFormat="false" ht="15.75" hidden="false" customHeight="false" outlineLevel="0" collapsed="false">
      <c r="C803" s="0" t="n">
        <v>79.1</v>
      </c>
      <c r="D803" s="3" t="n">
        <f aca="false">D$8*D$10*(1-EXP(-2*$C803/SQRT(PI()*D$9*D$10)))</f>
        <v>0.000521465194555918</v>
      </c>
      <c r="E803" s="3" t="n">
        <f aca="false">E$8*E$10*(1-EXP(-2*$C803/SQRT(PI()*E$9*E$10)))</f>
        <v>0.000521463475347624</v>
      </c>
      <c r="F803" s="3" t="n">
        <f aca="false">F$8*F$10*(1-EXP(-2*$C803/SQRT(PI()*F$9*F$10)))</f>
        <v>0.000521395861721557</v>
      </c>
      <c r="G803" s="3" t="n">
        <f aca="false">G$8*G$10*(1-EXP(-2*$C803/SQRT(PI()*G$9*G$10)))</f>
        <v>0.000260731737673812</v>
      </c>
      <c r="H803" s="3" t="n">
        <f aca="false">H$8*H$10*(1-EXP(-2*$C803/SQRT(PI()*H$9*H$10)))</f>
        <v>5.21465194555918E-005</v>
      </c>
    </row>
    <row r="804" customFormat="false" ht="15.75" hidden="false" customHeight="false" outlineLevel="0" collapsed="false">
      <c r="C804" s="0" t="n">
        <v>79.2</v>
      </c>
      <c r="D804" s="3" t="n">
        <f aca="false">D$8*D$10*(1-EXP(-2*$C804/SQRT(PI()*D$9*D$10)))</f>
        <v>0.000521465194555928</v>
      </c>
      <c r="E804" s="3" t="n">
        <f aca="false">E$8*E$10*(1-EXP(-2*$C804/SQRT(PI()*E$9*E$10)))</f>
        <v>0.000521463502564487</v>
      </c>
      <c r="F804" s="3" t="n">
        <f aca="false">F$8*F$10*(1-EXP(-2*$C804/SQRT(PI()*F$9*F$10)))</f>
        <v>0.000521396639661508</v>
      </c>
      <c r="G804" s="3" t="n">
        <f aca="false">G$8*G$10*(1-EXP(-2*$C804/SQRT(PI()*G$9*G$10)))</f>
        <v>0.000260731751282243</v>
      </c>
      <c r="H804" s="3" t="n">
        <f aca="false">H$8*H$10*(1-EXP(-2*$C804/SQRT(PI()*H$9*H$10)))</f>
        <v>5.21465194555928E-005</v>
      </c>
    </row>
    <row r="805" customFormat="false" ht="15.75" hidden="false" customHeight="false" outlineLevel="0" collapsed="false">
      <c r="C805" s="0" t="n">
        <v>79.3</v>
      </c>
      <c r="D805" s="3" t="n">
        <f aca="false">D$8*D$10*(1-EXP(-2*$C805/SQRT(PI()*D$9*D$10)))</f>
        <v>0.000521465194555938</v>
      </c>
      <c r="E805" s="3" t="n">
        <f aca="false">E$8*E$10*(1-EXP(-2*$C805/SQRT(PI()*E$9*E$10)))</f>
        <v>0.000521463529350478</v>
      </c>
      <c r="F805" s="3" t="n">
        <f aca="false">F$8*F$10*(1-EXP(-2*$C805/SQRT(PI()*F$9*F$10)))</f>
        <v>0.000521397408872687</v>
      </c>
      <c r="G805" s="3" t="n">
        <f aca="false">G$8*G$10*(1-EXP(-2*$C805/SQRT(PI()*G$9*G$10)))</f>
        <v>0.000260731764675239</v>
      </c>
      <c r="H805" s="3" t="n">
        <f aca="false">H$8*H$10*(1-EXP(-2*$C805/SQRT(PI()*H$9*H$10)))</f>
        <v>5.21465194555938E-005</v>
      </c>
    </row>
    <row r="806" customFormat="false" ht="15.75" hidden="false" customHeight="false" outlineLevel="0" collapsed="false">
      <c r="C806" s="0" t="n">
        <v>79.4</v>
      </c>
      <c r="D806" s="3" t="n">
        <f aca="false">D$8*D$10*(1-EXP(-2*$C806/SQRT(PI()*D$9*D$10)))</f>
        <v>0.000521465194555947</v>
      </c>
      <c r="E806" s="3" t="n">
        <f aca="false">E$8*E$10*(1-EXP(-2*$C806/SQRT(PI()*E$9*E$10)))</f>
        <v>0.00052146355571242</v>
      </c>
      <c r="F806" s="3" t="n">
        <f aca="false">F$8*F$10*(1-EXP(-2*$C806/SQRT(PI()*F$9*F$10)))</f>
        <v>0.000521398169453033</v>
      </c>
      <c r="G806" s="3" t="n">
        <f aca="false">G$8*G$10*(1-EXP(-2*$C806/SQRT(PI()*G$9*G$10)))</f>
        <v>0.00026073177785621</v>
      </c>
      <c r="H806" s="3" t="n">
        <f aca="false">H$8*H$10*(1-EXP(-2*$C806/SQRT(PI()*H$9*H$10)))</f>
        <v>5.21465194555947E-005</v>
      </c>
    </row>
    <row r="807" customFormat="false" ht="15.75" hidden="false" customHeight="false" outlineLevel="0" collapsed="false">
      <c r="C807" s="0" t="n">
        <v>79.5</v>
      </c>
      <c r="D807" s="3" t="n">
        <f aca="false">D$8*D$10*(1-EXP(-2*$C807/SQRT(PI()*D$9*D$10)))</f>
        <v>0.000521465194555956</v>
      </c>
      <c r="E807" s="3" t="n">
        <f aca="false">E$8*E$10*(1-EXP(-2*$C807/SQRT(PI()*E$9*E$10)))</f>
        <v>0.000521463581657024</v>
      </c>
      <c r="F807" s="3" t="n">
        <f aca="false">F$8*F$10*(1-EXP(-2*$C807/SQRT(PI()*F$9*F$10)))</f>
        <v>0.000521398921499388</v>
      </c>
      <c r="G807" s="3" t="n">
        <f aca="false">G$8*G$10*(1-EXP(-2*$C807/SQRT(PI()*G$9*G$10)))</f>
        <v>0.000260731790828512</v>
      </c>
      <c r="H807" s="3" t="n">
        <f aca="false">H$8*H$10*(1-EXP(-2*$C807/SQRT(PI()*H$9*H$10)))</f>
        <v>5.21465194555956E-005</v>
      </c>
    </row>
    <row r="808" customFormat="false" ht="15.75" hidden="false" customHeight="false" outlineLevel="0" collapsed="false">
      <c r="C808" s="0" t="n">
        <v>79.6</v>
      </c>
      <c r="D808" s="3" t="n">
        <f aca="false">D$8*D$10*(1-EXP(-2*$C808/SQRT(PI()*D$9*D$10)))</f>
        <v>0.000521465194555965</v>
      </c>
      <c r="E808" s="3" t="n">
        <f aca="false">E$8*E$10*(1-EXP(-2*$C808/SQRT(PI()*E$9*E$10)))</f>
        <v>0.000521463607190899</v>
      </c>
      <c r="F808" s="3" t="n">
        <f aca="false">F$8*F$10*(1-EXP(-2*$C808/SQRT(PI()*F$9*F$10)))</f>
        <v>0.000521399665107505</v>
      </c>
      <c r="G808" s="3" t="n">
        <f aca="false">G$8*G$10*(1-EXP(-2*$C808/SQRT(PI()*G$9*G$10)))</f>
        <v>0.000260731803595449</v>
      </c>
      <c r="H808" s="3" t="n">
        <f aca="false">H$8*H$10*(1-EXP(-2*$C808/SQRT(PI()*H$9*H$10)))</f>
        <v>5.21465194555965E-005</v>
      </c>
    </row>
    <row r="809" customFormat="false" ht="15.75" hidden="false" customHeight="false" outlineLevel="0" collapsed="false">
      <c r="C809" s="0" t="n">
        <v>79.7</v>
      </c>
      <c r="D809" s="3" t="n">
        <f aca="false">D$8*D$10*(1-EXP(-2*$C809/SQRT(PI()*D$9*D$10)))</f>
        <v>0.000521465194555973</v>
      </c>
      <c r="E809" s="3" t="n">
        <f aca="false">E$8*E$10*(1-EXP(-2*$C809/SQRT(PI()*E$9*E$10)))</f>
        <v>0.000521463632320545</v>
      </c>
      <c r="F809" s="3" t="n">
        <f aca="false">F$8*F$10*(1-EXP(-2*$C809/SQRT(PI()*F$9*F$10)))</f>
        <v>0.000521400400372065</v>
      </c>
      <c r="G809" s="3" t="n">
        <f aca="false">G$8*G$10*(1-EXP(-2*$C809/SQRT(PI()*G$9*G$10)))</f>
        <v>0.000260731816160273</v>
      </c>
      <c r="H809" s="3" t="n">
        <f aca="false">H$8*H$10*(1-EXP(-2*$C809/SQRT(PI()*H$9*H$10)))</f>
        <v>5.21465194555973E-005</v>
      </c>
    </row>
    <row r="810" customFormat="false" ht="15.75" hidden="false" customHeight="false" outlineLevel="0" collapsed="false">
      <c r="C810" s="0" t="n">
        <v>79.8</v>
      </c>
      <c r="D810" s="3" t="n">
        <f aca="false">D$8*D$10*(1-EXP(-2*$C810/SQRT(PI()*D$9*D$10)))</f>
        <v>0.000521465194555981</v>
      </c>
      <c r="E810" s="3" t="n">
        <f aca="false">E$8*E$10*(1-EXP(-2*$C810/SQRT(PI()*E$9*E$10)))</f>
        <v>0.000521463657052363</v>
      </c>
      <c r="F810" s="3" t="n">
        <f aca="false">F$8*F$10*(1-EXP(-2*$C810/SQRT(PI()*F$9*F$10)))</f>
        <v>0.000521401127386685</v>
      </c>
      <c r="G810" s="3" t="n">
        <f aca="false">G$8*G$10*(1-EXP(-2*$C810/SQRT(PI()*G$9*G$10)))</f>
        <v>0.000260731828526182</v>
      </c>
      <c r="H810" s="3" t="n">
        <f aca="false">H$8*H$10*(1-EXP(-2*$C810/SQRT(PI()*H$9*H$10)))</f>
        <v>5.21465194555981E-005</v>
      </c>
    </row>
    <row r="811" customFormat="false" ht="15.75" hidden="false" customHeight="false" outlineLevel="0" collapsed="false">
      <c r="C811" s="0" t="n">
        <v>79.9</v>
      </c>
      <c r="D811" s="3" t="n">
        <f aca="false">D$8*D$10*(1-EXP(-2*$C811/SQRT(PI()*D$9*D$10)))</f>
        <v>0.000521465194555989</v>
      </c>
      <c r="E811" s="3" t="n">
        <f aca="false">E$8*E$10*(1-EXP(-2*$C811/SQRT(PI()*E$9*E$10)))</f>
        <v>0.000521463681392651</v>
      </c>
      <c r="F811" s="3" t="n">
        <f aca="false">F$8*F$10*(1-EXP(-2*$C811/SQRT(PI()*F$9*F$10)))</f>
        <v>0.000521401846243934</v>
      </c>
      <c r="G811" s="3" t="n">
        <f aca="false">G$8*G$10*(1-EXP(-2*$C811/SQRT(PI()*G$9*G$10)))</f>
        <v>0.000260731840696326</v>
      </c>
      <c r="H811" s="3" t="n">
        <f aca="false">H$8*H$10*(1-EXP(-2*$C811/SQRT(PI()*H$9*H$10)))</f>
        <v>5.21465194555989E-005</v>
      </c>
    </row>
    <row r="812" customFormat="false" ht="15.75" hidden="false" customHeight="false" outlineLevel="0" collapsed="false">
      <c r="C812" s="0" t="n">
        <v>80</v>
      </c>
      <c r="D812" s="3" t="n">
        <f aca="false">D$8*D$10*(1-EXP(-2*$C812/SQRT(PI()*D$9*D$10)))</f>
        <v>0.000521465194555997</v>
      </c>
      <c r="E812" s="3" t="n">
        <f aca="false">E$8*E$10*(1-EXP(-2*$C812/SQRT(PI()*E$9*E$10)))</f>
        <v>0.000521463705347607</v>
      </c>
      <c r="F812" s="3" t="n">
        <f aca="false">F$8*F$10*(1-EXP(-2*$C812/SQRT(PI()*F$9*F$10)))</f>
        <v>0.00052140255703534</v>
      </c>
      <c r="G812" s="3" t="n">
        <f aca="false">G$8*G$10*(1-EXP(-2*$C812/SQRT(PI()*G$9*G$10)))</f>
        <v>0.000260731852673803</v>
      </c>
      <c r="H812" s="3" t="n">
        <f aca="false">H$8*H$10*(1-EXP(-2*$C812/SQRT(PI()*H$9*H$10)))</f>
        <v>5.21465194555997E-005</v>
      </c>
    </row>
    <row r="813" customFormat="false" ht="15.75" hidden="false" customHeight="false" outlineLevel="0" collapsed="false">
      <c r="C813" s="0" t="n">
        <v>80.1</v>
      </c>
      <c r="D813" s="3" t="n">
        <f aca="false">D$8*D$10*(1-EXP(-2*$C813/SQRT(PI()*D$9*D$10)))</f>
        <v>0.000521465194556004</v>
      </c>
      <c r="E813" s="3" t="n">
        <f aca="false">E$8*E$10*(1-EXP(-2*$C813/SQRT(PI()*E$9*E$10)))</f>
        <v>0.00052146372892333</v>
      </c>
      <c r="F813" s="3" t="n">
        <f aca="false">F$8*F$10*(1-EXP(-2*$C813/SQRT(PI()*F$9*F$10)))</f>
        <v>0.000521403259851404</v>
      </c>
      <c r="G813" s="3" t="n">
        <f aca="false">G$8*G$10*(1-EXP(-2*$C813/SQRT(PI()*G$9*G$10)))</f>
        <v>0.000260731864461665</v>
      </c>
      <c r="H813" s="3" t="n">
        <f aca="false">H$8*H$10*(1-EXP(-2*$C813/SQRT(PI()*H$9*H$10)))</f>
        <v>5.21465194556004E-005</v>
      </c>
    </row>
    <row r="814" customFormat="false" ht="15.75" hidden="false" customHeight="false" outlineLevel="0" collapsed="false">
      <c r="C814" s="0" t="n">
        <v>80.2</v>
      </c>
      <c r="D814" s="3" t="n">
        <f aca="false">D$8*D$10*(1-EXP(-2*$C814/SQRT(PI()*D$9*D$10)))</f>
        <v>0.000521465194556011</v>
      </c>
      <c r="E814" s="3" t="n">
        <f aca="false">E$8*E$10*(1-EXP(-2*$C814/SQRT(PI()*E$9*E$10)))</f>
        <v>0.000521463752125826</v>
      </c>
      <c r="F814" s="3" t="n">
        <f aca="false">F$8*F$10*(1-EXP(-2*$C814/SQRT(PI()*F$9*F$10)))</f>
        <v>0.000521403954781613</v>
      </c>
      <c r="G814" s="3" t="n">
        <f aca="false">G$8*G$10*(1-EXP(-2*$C814/SQRT(PI()*G$9*G$10)))</f>
        <v>0.000260731876062913</v>
      </c>
      <c r="H814" s="3" t="n">
        <f aca="false">H$8*H$10*(1-EXP(-2*$C814/SQRT(PI()*H$9*H$10)))</f>
        <v>5.21465194556011E-005</v>
      </c>
    </row>
    <row r="815" customFormat="false" ht="15.75" hidden="false" customHeight="false" outlineLevel="0" collapsed="false">
      <c r="C815" s="0" t="n">
        <v>80.3</v>
      </c>
      <c r="D815" s="3" t="n">
        <f aca="false">D$8*D$10*(1-EXP(-2*$C815/SQRT(PI()*D$9*D$10)))</f>
        <v>0.000521465194556018</v>
      </c>
      <c r="E815" s="3" t="n">
        <f aca="false">E$8*E$10*(1-EXP(-2*$C815/SQRT(PI()*E$9*E$10)))</f>
        <v>0.000521463774961001</v>
      </c>
      <c r="F815" s="3" t="n">
        <f aca="false">F$8*F$10*(1-EXP(-2*$C815/SQRT(PI()*F$9*F$10)))</f>
        <v>0.000521404641914449</v>
      </c>
      <c r="G815" s="3" t="n">
        <f aca="false">G$8*G$10*(1-EXP(-2*$C815/SQRT(PI()*G$9*G$10)))</f>
        <v>0.000260731887480501</v>
      </c>
      <c r="H815" s="3" t="n">
        <f aca="false">H$8*H$10*(1-EXP(-2*$C815/SQRT(PI()*H$9*H$10)))</f>
        <v>5.21465194556018E-005</v>
      </c>
    </row>
    <row r="816" customFormat="false" ht="15.75" hidden="false" customHeight="false" outlineLevel="0" collapsed="false">
      <c r="C816" s="0" t="n">
        <v>80.4</v>
      </c>
      <c r="D816" s="3" t="n">
        <f aca="false">D$8*D$10*(1-EXP(-2*$C816/SQRT(PI()*D$9*D$10)))</f>
        <v>0.000521465194556025</v>
      </c>
      <c r="E816" s="3" t="n">
        <f aca="false">E$8*E$10*(1-EXP(-2*$C816/SQRT(PI()*E$9*E$10)))</f>
        <v>0.000521463797434672</v>
      </c>
      <c r="F816" s="3" t="n">
        <f aca="false">F$8*F$10*(1-EXP(-2*$C816/SQRT(PI()*F$9*F$10)))</f>
        <v>0.000521405321337401</v>
      </c>
      <c r="G816" s="3" t="n">
        <f aca="false">G$8*G$10*(1-EXP(-2*$C816/SQRT(PI()*G$9*G$10)))</f>
        <v>0.000260731898717336</v>
      </c>
      <c r="H816" s="3" t="n">
        <f aca="false">H$8*H$10*(1-EXP(-2*$C816/SQRT(PI()*H$9*H$10)))</f>
        <v>5.21465194556025E-005</v>
      </c>
    </row>
    <row r="817" customFormat="false" ht="15.75" hidden="false" customHeight="false" outlineLevel="0" collapsed="false">
      <c r="C817" s="0" t="n">
        <v>80.5</v>
      </c>
      <c r="D817" s="3" t="n">
        <f aca="false">D$8*D$10*(1-EXP(-2*$C817/SQRT(PI()*D$9*D$10)))</f>
        <v>0.000521465194556031</v>
      </c>
      <c r="E817" s="3" t="n">
        <f aca="false">E$8*E$10*(1-EXP(-2*$C817/SQRT(PI()*E$9*E$10)))</f>
        <v>0.000521463819552562</v>
      </c>
      <c r="F817" s="3" t="n">
        <f aca="false">F$8*F$10*(1-EXP(-2*$C817/SQRT(PI()*F$9*F$10)))</f>
        <v>0.000521405993136977</v>
      </c>
      <c r="G817" s="3" t="n">
        <f aca="false">G$8*G$10*(1-EXP(-2*$C817/SQRT(PI()*G$9*G$10)))</f>
        <v>0.000260731909776281</v>
      </c>
      <c r="H817" s="3" t="n">
        <f aca="false">H$8*H$10*(1-EXP(-2*$C817/SQRT(PI()*H$9*H$10)))</f>
        <v>5.21465194556031E-005</v>
      </c>
    </row>
    <row r="818" customFormat="false" ht="15.75" hidden="false" customHeight="false" outlineLevel="0" collapsed="false">
      <c r="C818" s="0" t="n">
        <v>80.6</v>
      </c>
      <c r="D818" s="3" t="n">
        <f aca="false">D$8*D$10*(1-EXP(-2*$C818/SQRT(PI()*D$9*D$10)))</f>
        <v>0.000521465194556037</v>
      </c>
      <c r="E818" s="3" t="n">
        <f aca="false">E$8*E$10*(1-EXP(-2*$C818/SQRT(PI()*E$9*E$10)))</f>
        <v>0.000521463841320302</v>
      </c>
      <c r="F818" s="3" t="n">
        <f aca="false">F$8*F$10*(1-EXP(-2*$C818/SQRT(PI()*F$9*F$10)))</f>
        <v>0.000521406657398715</v>
      </c>
      <c r="G818" s="3" t="n">
        <f aca="false">G$8*G$10*(1-EXP(-2*$C818/SQRT(PI()*G$9*G$10)))</f>
        <v>0.000260731920660151</v>
      </c>
      <c r="H818" s="3" t="n">
        <f aca="false">H$8*H$10*(1-EXP(-2*$C818/SQRT(PI()*H$9*H$10)))</f>
        <v>5.21465194556037E-005</v>
      </c>
    </row>
    <row r="819" customFormat="false" ht="15.75" hidden="false" customHeight="false" outlineLevel="0" collapsed="false">
      <c r="C819" s="0" t="n">
        <v>80.7</v>
      </c>
      <c r="D819" s="3" t="n">
        <f aca="false">D$8*D$10*(1-EXP(-2*$C819/SQRT(PI()*D$9*D$10)))</f>
        <v>0.000521465194556043</v>
      </c>
      <c r="E819" s="3" t="n">
        <f aca="false">E$8*E$10*(1-EXP(-2*$C819/SQRT(PI()*E$9*E$10)))</f>
        <v>0.000521463862743436</v>
      </c>
      <c r="F819" s="3" t="n">
        <f aca="false">F$8*F$10*(1-EXP(-2*$C819/SQRT(PI()*F$9*F$10)))</f>
        <v>0.000521407314207191</v>
      </c>
      <c r="G819" s="3" t="n">
        <f aca="false">G$8*G$10*(1-EXP(-2*$C819/SQRT(PI()*G$9*G$10)))</f>
        <v>0.000260731931371718</v>
      </c>
      <c r="H819" s="3" t="n">
        <f aca="false">H$8*H$10*(1-EXP(-2*$C819/SQRT(PI()*H$9*H$10)))</f>
        <v>5.21465194556043E-005</v>
      </c>
    </row>
    <row r="820" customFormat="false" ht="15.75" hidden="false" customHeight="false" outlineLevel="0" collapsed="false">
      <c r="C820" s="0" t="n">
        <v>80.8</v>
      </c>
      <c r="D820" s="3" t="n">
        <f aca="false">D$8*D$10*(1-EXP(-2*$C820/SQRT(PI()*D$9*D$10)))</f>
        <v>0.000521465194556049</v>
      </c>
      <c r="E820" s="3" t="n">
        <f aca="false">E$8*E$10*(1-EXP(-2*$C820/SQRT(PI()*E$9*E$10)))</f>
        <v>0.00052146388382742</v>
      </c>
      <c r="F820" s="3" t="n">
        <f aca="false">F$8*F$10*(1-EXP(-2*$C820/SQRT(PI()*F$9*F$10)))</f>
        <v>0.000521407963646034</v>
      </c>
      <c r="G820" s="3" t="n">
        <f aca="false">G$8*G$10*(1-EXP(-2*$C820/SQRT(PI()*G$9*G$10)))</f>
        <v>0.00026073194191371</v>
      </c>
      <c r="H820" s="3" t="n">
        <f aca="false">H$8*H$10*(1-EXP(-2*$C820/SQRT(PI()*H$9*H$10)))</f>
        <v>5.21465194556049E-005</v>
      </c>
    </row>
    <row r="821" customFormat="false" ht="15.75" hidden="false" customHeight="false" outlineLevel="0" collapsed="false">
      <c r="C821" s="0" t="n">
        <v>80.9</v>
      </c>
      <c r="D821" s="3" t="n">
        <f aca="false">D$8*D$10*(1-EXP(-2*$C821/SQRT(PI()*D$9*D$10)))</f>
        <v>0.000521465194556054</v>
      </c>
      <c r="E821" s="3" t="n">
        <f aca="false">E$8*E$10*(1-EXP(-2*$C821/SQRT(PI()*E$9*E$10)))</f>
        <v>0.000521463904577622</v>
      </c>
      <c r="F821" s="3" t="n">
        <f aca="false">F$8*F$10*(1-EXP(-2*$C821/SQRT(PI()*F$9*F$10)))</f>
        <v>0.000521408605797934</v>
      </c>
      <c r="G821" s="3" t="n">
        <f aca="false">G$8*G$10*(1-EXP(-2*$C821/SQRT(PI()*G$9*G$10)))</f>
        <v>0.000260731952288811</v>
      </c>
      <c r="H821" s="3" t="n">
        <f aca="false">H$8*H$10*(1-EXP(-2*$C821/SQRT(PI()*H$9*H$10)))</f>
        <v>5.21465194556054E-005</v>
      </c>
    </row>
    <row r="822" customFormat="false" ht="15.75" hidden="false" customHeight="false" outlineLevel="0" collapsed="false">
      <c r="C822" s="0" t="n">
        <v>81</v>
      </c>
      <c r="D822" s="3" t="n">
        <f aca="false">D$8*D$10*(1-EXP(-2*$C822/SQRT(PI()*D$9*D$10)))</f>
        <v>0.00052146519455606</v>
      </c>
      <c r="E822" s="3" t="n">
        <f aca="false">E$8*E$10*(1-EXP(-2*$C822/SQRT(PI()*E$9*E$10)))</f>
        <v>0.000521463924999327</v>
      </c>
      <c r="F822" s="3" t="n">
        <f aca="false">F$8*F$10*(1-EXP(-2*$C822/SQRT(PI()*F$9*F$10)))</f>
        <v>0.000521409240744653</v>
      </c>
      <c r="G822" s="3" t="n">
        <f aca="false">G$8*G$10*(1-EXP(-2*$C822/SQRT(PI()*G$9*G$10)))</f>
        <v>0.000260731962499663</v>
      </c>
      <c r="H822" s="3" t="n">
        <f aca="false">H$8*H$10*(1-EXP(-2*$C822/SQRT(PI()*H$9*H$10)))</f>
        <v>5.2146519455606E-005</v>
      </c>
    </row>
    <row r="823" customFormat="false" ht="15.75" hidden="false" customHeight="false" outlineLevel="0" collapsed="false">
      <c r="C823" s="0" t="n">
        <v>81.1</v>
      </c>
      <c r="D823" s="3" t="n">
        <f aca="false">D$8*D$10*(1-EXP(-2*$C823/SQRT(PI()*D$9*D$10)))</f>
        <v>0.000521465194556065</v>
      </c>
      <c r="E823" s="3" t="n">
        <f aca="false">E$8*E$10*(1-EXP(-2*$C823/SQRT(PI()*E$9*E$10)))</f>
        <v>0.000521463945097735</v>
      </c>
      <c r="F823" s="3" t="n">
        <f aca="false">F$8*F$10*(1-EXP(-2*$C823/SQRT(PI()*F$9*F$10)))</f>
        <v>0.000521409868567036</v>
      </c>
      <c r="G823" s="3" t="n">
        <f aca="false">G$8*G$10*(1-EXP(-2*$C823/SQRT(PI()*G$9*G$10)))</f>
        <v>0.000260731972548868</v>
      </c>
      <c r="H823" s="3" t="n">
        <f aca="false">H$8*H$10*(1-EXP(-2*$C823/SQRT(PI()*H$9*H$10)))</f>
        <v>5.21465194556065E-005</v>
      </c>
    </row>
    <row r="824" customFormat="false" ht="15.75" hidden="false" customHeight="false" outlineLevel="0" collapsed="false">
      <c r="C824" s="0" t="n">
        <v>81.2</v>
      </c>
      <c r="D824" s="3" t="n">
        <f aca="false">D$8*D$10*(1-EXP(-2*$C824/SQRT(PI()*D$9*D$10)))</f>
        <v>0.00052146519455607</v>
      </c>
      <c r="E824" s="3" t="n">
        <f aca="false">E$8*E$10*(1-EXP(-2*$C824/SQRT(PI()*E$9*E$10)))</f>
        <v>0.000521463964877964</v>
      </c>
      <c r="F824" s="3" t="n">
        <f aca="false">F$8*F$10*(1-EXP(-2*$C824/SQRT(PI()*F$9*F$10)))</f>
        <v>0.000521410489345021</v>
      </c>
      <c r="G824" s="3" t="n">
        <f aca="false">G$8*G$10*(1-EXP(-2*$C824/SQRT(PI()*G$9*G$10)))</f>
        <v>0.000260731982438982</v>
      </c>
      <c r="H824" s="3" t="n">
        <f aca="false">H$8*H$10*(1-EXP(-2*$C824/SQRT(PI()*H$9*H$10)))</f>
        <v>5.2146519455607E-005</v>
      </c>
    </row>
    <row r="825" customFormat="false" ht="15.75" hidden="false" customHeight="false" outlineLevel="0" collapsed="false">
      <c r="C825" s="0" t="n">
        <v>81.3</v>
      </c>
      <c r="D825" s="3" t="n">
        <f aca="false">D$8*D$10*(1-EXP(-2*$C825/SQRT(PI()*D$9*D$10)))</f>
        <v>0.000521465194556074</v>
      </c>
      <c r="E825" s="3" t="n">
        <f aca="false">E$8*E$10*(1-EXP(-2*$C825/SQRT(PI()*E$9*E$10)))</f>
        <v>0.000521463984345052</v>
      </c>
      <c r="F825" s="3" t="n">
        <f aca="false">F$8*F$10*(1-EXP(-2*$C825/SQRT(PI()*F$9*F$10)))</f>
        <v>0.000521411103157647</v>
      </c>
      <c r="G825" s="3" t="n">
        <f aca="false">G$8*G$10*(1-EXP(-2*$C825/SQRT(PI()*G$9*G$10)))</f>
        <v>0.000260731992172526</v>
      </c>
      <c r="H825" s="3" t="n">
        <f aca="false">H$8*H$10*(1-EXP(-2*$C825/SQRT(PI()*H$9*H$10)))</f>
        <v>5.21465194556074E-005</v>
      </c>
    </row>
    <row r="826" customFormat="false" ht="15.75" hidden="false" customHeight="false" outlineLevel="0" collapsed="false">
      <c r="C826" s="0" t="n">
        <v>81.4</v>
      </c>
      <c r="D826" s="3" t="n">
        <f aca="false">D$8*D$10*(1-EXP(-2*$C826/SQRT(PI()*D$9*D$10)))</f>
        <v>0.000521465194556079</v>
      </c>
      <c r="E826" s="3" t="n">
        <f aca="false">E$8*E$10*(1-EXP(-2*$C826/SQRT(PI()*E$9*E$10)))</f>
        <v>0.000521464003503955</v>
      </c>
      <c r="F826" s="3" t="n">
        <f aca="false">F$8*F$10*(1-EXP(-2*$C826/SQRT(PI()*F$9*F$10)))</f>
        <v>0.00052141171008307</v>
      </c>
      <c r="G826" s="3" t="n">
        <f aca="false">G$8*G$10*(1-EXP(-2*$C826/SQRT(PI()*G$9*G$10)))</f>
        <v>0.000260732001751978</v>
      </c>
      <c r="H826" s="3" t="n">
        <f aca="false">H$8*H$10*(1-EXP(-2*$C826/SQRT(PI()*H$9*H$10)))</f>
        <v>5.21465194556079E-005</v>
      </c>
    </row>
    <row r="827" customFormat="false" ht="15.75" hidden="false" customHeight="false" outlineLevel="0" collapsed="false">
      <c r="C827" s="0" t="n">
        <v>81.5</v>
      </c>
      <c r="D827" s="3" t="n">
        <f aca="false">D$8*D$10*(1-EXP(-2*$C827/SQRT(PI()*D$9*D$10)))</f>
        <v>0.000521465194556083</v>
      </c>
      <c r="E827" s="3" t="n">
        <f aca="false">E$8*E$10*(1-EXP(-2*$C827/SQRT(PI()*E$9*E$10)))</f>
        <v>0.000521464022359553</v>
      </c>
      <c r="F827" s="3" t="n">
        <f aca="false">F$8*F$10*(1-EXP(-2*$C827/SQRT(PI()*F$9*F$10)))</f>
        <v>0.000521412310198566</v>
      </c>
      <c r="G827" s="3" t="n">
        <f aca="false">G$8*G$10*(1-EXP(-2*$C827/SQRT(PI()*G$9*G$10)))</f>
        <v>0.000260732011179777</v>
      </c>
      <c r="H827" s="3" t="n">
        <f aca="false">H$8*H$10*(1-EXP(-2*$C827/SQRT(PI()*H$9*H$10)))</f>
        <v>5.21465194556083E-005</v>
      </c>
    </row>
    <row r="828" customFormat="false" ht="15.75" hidden="false" customHeight="false" outlineLevel="0" collapsed="false">
      <c r="C828" s="0" t="n">
        <v>81.6</v>
      </c>
      <c r="D828" s="3" t="n">
        <f aca="false">D$8*D$10*(1-EXP(-2*$C828/SQRT(PI()*D$9*D$10)))</f>
        <v>0.000521465194556088</v>
      </c>
      <c r="E828" s="3" t="n">
        <f aca="false">E$8*E$10*(1-EXP(-2*$C828/SQRT(PI()*E$9*E$10)))</f>
        <v>0.000521464040916648</v>
      </c>
      <c r="F828" s="3" t="n">
        <f aca="false">F$8*F$10*(1-EXP(-2*$C828/SQRT(PI()*F$9*F$10)))</f>
        <v>0.000521412903580545</v>
      </c>
      <c r="G828" s="3" t="n">
        <f aca="false">G$8*G$10*(1-EXP(-2*$C828/SQRT(PI()*G$9*G$10)))</f>
        <v>0.000260732020458324</v>
      </c>
      <c r="H828" s="3" t="n">
        <f aca="false">H$8*H$10*(1-EXP(-2*$C828/SQRT(PI()*H$9*H$10)))</f>
        <v>5.21465194556088E-005</v>
      </c>
    </row>
    <row r="829" customFormat="false" ht="15.75" hidden="false" customHeight="false" outlineLevel="0" collapsed="false">
      <c r="C829" s="0" t="n">
        <v>81.7</v>
      </c>
      <c r="D829" s="3" t="n">
        <f aca="false">D$8*D$10*(1-EXP(-2*$C829/SQRT(PI()*D$9*D$10)))</f>
        <v>0.000521465194556092</v>
      </c>
      <c r="E829" s="3" t="n">
        <f aca="false">E$8*E$10*(1-EXP(-2*$C829/SQRT(PI()*E$9*E$10)))</f>
        <v>0.000521464059179964</v>
      </c>
      <c r="F829" s="3" t="n">
        <f aca="false">F$8*F$10*(1-EXP(-2*$C829/SQRT(PI()*F$9*F$10)))</f>
        <v>0.00052141349030456</v>
      </c>
      <c r="G829" s="3" t="n">
        <f aca="false">G$8*G$10*(1-EXP(-2*$C829/SQRT(PI()*G$9*G$10)))</f>
        <v>0.000260732029589982</v>
      </c>
      <c r="H829" s="3" t="n">
        <f aca="false">H$8*H$10*(1-EXP(-2*$C829/SQRT(PI()*H$9*H$10)))</f>
        <v>5.21465194556092E-005</v>
      </c>
    </row>
    <row r="830" customFormat="false" ht="15.75" hidden="false" customHeight="false" outlineLevel="0" collapsed="false">
      <c r="C830" s="0" t="n">
        <v>81.8</v>
      </c>
      <c r="D830" s="3" t="n">
        <f aca="false">D$8*D$10*(1-EXP(-2*$C830/SQRT(PI()*D$9*D$10)))</f>
        <v>0.000521465194556096</v>
      </c>
      <c r="E830" s="3" t="n">
        <f aca="false">E$8*E$10*(1-EXP(-2*$C830/SQRT(PI()*E$9*E$10)))</f>
        <v>0.000521464077154153</v>
      </c>
      <c r="F830" s="3" t="n">
        <f aca="false">F$8*F$10*(1-EXP(-2*$C830/SQRT(PI()*F$9*F$10)))</f>
        <v>0.000521414070445315</v>
      </c>
      <c r="G830" s="3" t="n">
        <f aca="false">G$8*G$10*(1-EXP(-2*$C830/SQRT(PI()*G$9*G$10)))</f>
        <v>0.000260732038577076</v>
      </c>
      <c r="H830" s="3" t="n">
        <f aca="false">H$8*H$10*(1-EXP(-2*$C830/SQRT(PI()*H$9*H$10)))</f>
        <v>5.21465194556096E-005</v>
      </c>
    </row>
    <row r="831" customFormat="false" ht="15.75" hidden="false" customHeight="false" outlineLevel="0" collapsed="false">
      <c r="C831" s="0" t="n">
        <v>81.9</v>
      </c>
      <c r="D831" s="3" t="n">
        <f aca="false">D$8*D$10*(1-EXP(-2*$C831/SQRT(PI()*D$9*D$10)))</f>
        <v>0.0005214651945561</v>
      </c>
      <c r="E831" s="3" t="n">
        <f aca="false">E$8*E$10*(1-EXP(-2*$C831/SQRT(PI()*E$9*E$10)))</f>
        <v>0.000521464094843791</v>
      </c>
      <c r="F831" s="3" t="n">
        <f aca="false">F$8*F$10*(1-EXP(-2*$C831/SQRT(PI()*F$9*F$10)))</f>
        <v>0.000521414644076676</v>
      </c>
      <c r="G831" s="3" t="n">
        <f aca="false">G$8*G$10*(1-EXP(-2*$C831/SQRT(PI()*G$9*G$10)))</f>
        <v>0.000260732047421896</v>
      </c>
      <c r="H831" s="3" t="n">
        <f aca="false">H$8*H$10*(1-EXP(-2*$C831/SQRT(PI()*H$9*H$10)))</f>
        <v>5.214651945561E-005</v>
      </c>
    </row>
    <row r="832" customFormat="false" ht="15.75" hidden="false" customHeight="false" outlineLevel="0" collapsed="false">
      <c r="C832" s="0" t="n">
        <v>82</v>
      </c>
      <c r="D832" s="3" t="n">
        <f aca="false">D$8*D$10*(1-EXP(-2*$C832/SQRT(PI()*D$9*D$10)))</f>
        <v>0.000521465194556103</v>
      </c>
      <c r="E832" s="3" t="n">
        <f aca="false">E$8*E$10*(1-EXP(-2*$C832/SQRT(PI()*E$9*E$10)))</f>
        <v>0.000521464112253384</v>
      </c>
      <c r="F832" s="3" t="n">
        <f aca="false">F$8*F$10*(1-EXP(-2*$C832/SQRT(PI()*F$9*F$10)))</f>
        <v>0.000521415211271683</v>
      </c>
      <c r="G832" s="3" t="n">
        <f aca="false">G$8*G$10*(1-EXP(-2*$C832/SQRT(PI()*G$9*G$10)))</f>
        <v>0.000260732056126692</v>
      </c>
      <c r="H832" s="3" t="n">
        <f aca="false">H$8*H$10*(1-EXP(-2*$C832/SQRT(PI()*H$9*H$10)))</f>
        <v>5.21465194556103E-005</v>
      </c>
    </row>
    <row r="833" customFormat="false" ht="15.75" hidden="false" customHeight="false" outlineLevel="0" collapsed="false">
      <c r="C833" s="0" t="n">
        <v>82.1</v>
      </c>
      <c r="D833" s="3" t="n">
        <f aca="false">D$8*D$10*(1-EXP(-2*$C833/SQRT(PI()*D$9*D$10)))</f>
        <v>0.000521465194556107</v>
      </c>
      <c r="E833" s="3" t="n">
        <f aca="false">E$8*E$10*(1-EXP(-2*$C833/SQRT(PI()*E$9*E$10)))</f>
        <v>0.000521464129387366</v>
      </c>
      <c r="F833" s="3" t="n">
        <f aca="false">F$8*F$10*(1-EXP(-2*$C833/SQRT(PI()*F$9*F$10)))</f>
        <v>0.000521415772102553</v>
      </c>
      <c r="G833" s="3" t="n">
        <f aca="false">G$8*G$10*(1-EXP(-2*$C833/SQRT(PI()*G$9*G$10)))</f>
        <v>0.000260732064693683</v>
      </c>
      <c r="H833" s="3" t="n">
        <f aca="false">H$8*H$10*(1-EXP(-2*$C833/SQRT(PI()*H$9*H$10)))</f>
        <v>5.21465194556107E-005</v>
      </c>
    </row>
    <row r="834" customFormat="false" ht="15.75" hidden="false" customHeight="false" outlineLevel="0" collapsed="false">
      <c r="C834" s="0" t="n">
        <v>82.2</v>
      </c>
      <c r="D834" s="3" t="n">
        <f aca="false">D$8*D$10*(1-EXP(-2*$C834/SQRT(PI()*D$9*D$10)))</f>
        <v>0.00052146519455611</v>
      </c>
      <c r="E834" s="3" t="n">
        <f aca="false">E$8*E$10*(1-EXP(-2*$C834/SQRT(PI()*E$9*E$10)))</f>
        <v>0.000521464146250098</v>
      </c>
      <c r="F834" s="3" t="n">
        <f aca="false">F$8*F$10*(1-EXP(-2*$C834/SQRT(PI()*F$9*F$10)))</f>
        <v>0.000521416326640693</v>
      </c>
      <c r="G834" s="3" t="n">
        <f aca="false">G$8*G$10*(1-EXP(-2*$C834/SQRT(PI()*G$9*G$10)))</f>
        <v>0.000260732073125049</v>
      </c>
      <c r="H834" s="3" t="n">
        <f aca="false">H$8*H$10*(1-EXP(-2*$C834/SQRT(PI()*H$9*H$10)))</f>
        <v>5.2146519455611E-005</v>
      </c>
    </row>
    <row r="835" customFormat="false" ht="15.75" hidden="false" customHeight="false" outlineLevel="0" collapsed="false">
      <c r="C835" s="0" t="n">
        <v>82.3</v>
      </c>
      <c r="D835" s="3" t="n">
        <f aca="false">D$8*D$10*(1-EXP(-2*$C835/SQRT(PI()*D$9*D$10)))</f>
        <v>0.000521465194556114</v>
      </c>
      <c r="E835" s="3" t="n">
        <f aca="false">E$8*E$10*(1-EXP(-2*$C835/SQRT(PI()*E$9*E$10)))</f>
        <v>0.000521464162845876</v>
      </c>
      <c r="F835" s="3" t="n">
        <f aca="false">F$8*F$10*(1-EXP(-2*$C835/SQRT(PI()*F$9*F$10)))</f>
        <v>0.000521416874956712</v>
      </c>
      <c r="G835" s="3" t="n">
        <f aca="false">G$8*G$10*(1-EXP(-2*$C835/SQRT(PI()*G$9*G$10)))</f>
        <v>0.000260732081422938</v>
      </c>
      <c r="H835" s="3" t="n">
        <f aca="false">H$8*H$10*(1-EXP(-2*$C835/SQRT(PI()*H$9*H$10)))</f>
        <v>5.21465194556114E-005</v>
      </c>
    </row>
    <row r="836" customFormat="false" ht="15.75" hidden="false" customHeight="false" outlineLevel="0" collapsed="false">
      <c r="C836" s="0" t="n">
        <v>82.4</v>
      </c>
      <c r="D836" s="3" t="n">
        <f aca="false">D$8*D$10*(1-EXP(-2*$C836/SQRT(PI()*D$9*D$10)))</f>
        <v>0.000521465194556117</v>
      </c>
      <c r="E836" s="3" t="n">
        <f aca="false">E$8*E$10*(1-EXP(-2*$C836/SQRT(PI()*E$9*E$10)))</f>
        <v>0.000521464179178925</v>
      </c>
      <c r="F836" s="3" t="n">
        <f aca="false">F$8*F$10*(1-EXP(-2*$C836/SQRT(PI()*F$9*F$10)))</f>
        <v>0.000521417417120422</v>
      </c>
      <c r="G836" s="3" t="n">
        <f aca="false">G$8*G$10*(1-EXP(-2*$C836/SQRT(PI()*G$9*G$10)))</f>
        <v>0.000260732089589463</v>
      </c>
      <c r="H836" s="3" t="n">
        <f aca="false">H$8*H$10*(1-EXP(-2*$C836/SQRT(PI()*H$9*H$10)))</f>
        <v>5.21465194556117E-005</v>
      </c>
    </row>
    <row r="837" customFormat="false" ht="15.75" hidden="false" customHeight="false" outlineLevel="0" collapsed="false">
      <c r="C837" s="0" t="n">
        <v>82.5</v>
      </c>
      <c r="D837" s="3" t="n">
        <f aca="false">D$8*D$10*(1-EXP(-2*$C837/SQRT(PI()*D$9*D$10)))</f>
        <v>0.00052146519455612</v>
      </c>
      <c r="E837" s="3" t="n">
        <f aca="false">E$8*E$10*(1-EXP(-2*$C837/SQRT(PI()*E$9*E$10)))</f>
        <v>0.000521464195253406</v>
      </c>
      <c r="F837" s="3" t="n">
        <f aca="false">F$8*F$10*(1-EXP(-2*$C837/SQRT(PI()*F$9*F$10)))</f>
        <v>0.000521417953200856</v>
      </c>
      <c r="G837" s="3" t="n">
        <f aca="false">G$8*G$10*(1-EXP(-2*$C837/SQRT(PI()*G$9*G$10)))</f>
        <v>0.000260732097626703</v>
      </c>
      <c r="H837" s="3" t="n">
        <f aca="false">H$8*H$10*(1-EXP(-2*$C837/SQRT(PI()*H$9*H$10)))</f>
        <v>5.2146519455612E-005</v>
      </c>
    </row>
    <row r="838" customFormat="false" ht="15.75" hidden="false" customHeight="false" outlineLevel="0" collapsed="false">
      <c r="C838" s="0" t="n">
        <v>82.6</v>
      </c>
      <c r="D838" s="3" t="n">
        <f aca="false">D$8*D$10*(1-EXP(-2*$C838/SQRT(PI()*D$9*D$10)))</f>
        <v>0.000521465194556123</v>
      </c>
      <c r="E838" s="3" t="n">
        <f aca="false">E$8*E$10*(1-EXP(-2*$C838/SQRT(PI()*E$9*E$10)))</f>
        <v>0.00052146421107341</v>
      </c>
      <c r="F838" s="3" t="n">
        <f aca="false">F$8*F$10*(1-EXP(-2*$C838/SQRT(PI()*F$9*F$10)))</f>
        <v>0.00052141848326627</v>
      </c>
      <c r="G838" s="3" t="n">
        <f aca="false">G$8*G$10*(1-EXP(-2*$C838/SQRT(PI()*G$9*G$10)))</f>
        <v>0.000260732105536705</v>
      </c>
      <c r="H838" s="3" t="n">
        <f aca="false">H$8*H$10*(1-EXP(-2*$C838/SQRT(PI()*H$9*H$10)))</f>
        <v>5.21465194556123E-005</v>
      </c>
    </row>
    <row r="839" customFormat="false" ht="15.75" hidden="false" customHeight="false" outlineLevel="0" collapsed="false">
      <c r="C839" s="0" t="n">
        <v>82.7</v>
      </c>
      <c r="D839" s="3" t="n">
        <f aca="false">D$8*D$10*(1-EXP(-2*$C839/SQRT(PI()*D$9*D$10)))</f>
        <v>0.000521465194556126</v>
      </c>
      <c r="E839" s="3" t="n">
        <f aca="false">E$8*E$10*(1-EXP(-2*$C839/SQRT(PI()*E$9*E$10)))</f>
        <v>0.000521464226642967</v>
      </c>
      <c r="F839" s="3" t="n">
        <f aca="false">F$8*F$10*(1-EXP(-2*$C839/SQRT(PI()*F$9*F$10)))</f>
        <v>0.000521419007384155</v>
      </c>
      <c r="G839" s="3" t="n">
        <f aca="false">G$8*G$10*(1-EXP(-2*$C839/SQRT(PI()*G$9*G$10)))</f>
        <v>0.000260732113321484</v>
      </c>
      <c r="H839" s="3" t="n">
        <f aca="false">H$8*H$10*(1-EXP(-2*$C839/SQRT(PI()*H$9*H$10)))</f>
        <v>5.21465194556126E-005</v>
      </c>
    </row>
    <row r="840" customFormat="false" ht="15.75" hidden="false" customHeight="false" outlineLevel="0" collapsed="false">
      <c r="C840" s="0" t="n">
        <v>82.8</v>
      </c>
      <c r="D840" s="3" t="n">
        <f aca="false">D$8*D$10*(1-EXP(-2*$C840/SQRT(PI()*D$9*D$10)))</f>
        <v>0.000521465194556129</v>
      </c>
      <c r="E840" s="3" t="n">
        <f aca="false">E$8*E$10*(1-EXP(-2*$C840/SQRT(PI()*E$9*E$10)))</f>
        <v>0.000521464241966042</v>
      </c>
      <c r="F840" s="3" t="n">
        <f aca="false">F$8*F$10*(1-EXP(-2*$C840/SQRT(PI()*F$9*F$10)))</f>
        <v>0.000521419525621244</v>
      </c>
      <c r="G840" s="3" t="n">
        <f aca="false">G$8*G$10*(1-EXP(-2*$C840/SQRT(PI()*G$9*G$10)))</f>
        <v>0.000260732120983021</v>
      </c>
      <c r="H840" s="3" t="n">
        <f aca="false">H$8*H$10*(1-EXP(-2*$C840/SQRT(PI()*H$9*H$10)))</f>
        <v>5.21465194556129E-005</v>
      </c>
    </row>
    <row r="841" customFormat="false" ht="15.75" hidden="false" customHeight="false" outlineLevel="0" collapsed="false">
      <c r="C841" s="0" t="n">
        <v>82.9</v>
      </c>
      <c r="D841" s="3" t="n">
        <f aca="false">D$8*D$10*(1-EXP(-2*$C841/SQRT(PI()*D$9*D$10)))</f>
        <v>0.000521465194556131</v>
      </c>
      <c r="E841" s="3" t="n">
        <f aca="false">E$8*E$10*(1-EXP(-2*$C841/SQRT(PI()*E$9*E$10)))</f>
        <v>0.000521464257046537</v>
      </c>
      <c r="F841" s="3" t="n">
        <f aca="false">F$8*F$10*(1-EXP(-2*$C841/SQRT(PI()*F$9*F$10)))</f>
        <v>0.000521420038043522</v>
      </c>
      <c r="G841" s="3" t="n">
        <f aca="false">G$8*G$10*(1-EXP(-2*$C841/SQRT(PI()*G$9*G$10)))</f>
        <v>0.000260732128523269</v>
      </c>
      <c r="H841" s="3" t="n">
        <f aca="false">H$8*H$10*(1-EXP(-2*$C841/SQRT(PI()*H$9*H$10)))</f>
        <v>5.21465194556131E-005</v>
      </c>
    </row>
    <row r="842" customFormat="false" ht="15.75" hidden="false" customHeight="false" outlineLevel="0" collapsed="false">
      <c r="C842" s="0" t="n">
        <v>83</v>
      </c>
      <c r="D842" s="3" t="n">
        <f aca="false">D$8*D$10*(1-EXP(-2*$C842/SQRT(PI()*D$9*D$10)))</f>
        <v>0.000521465194556134</v>
      </c>
      <c r="E842" s="3" t="n">
        <f aca="false">E$8*E$10*(1-EXP(-2*$C842/SQRT(PI()*E$9*E$10)))</f>
        <v>0.000521464271888292</v>
      </c>
      <c r="F842" s="3" t="n">
        <f aca="false">F$8*F$10*(1-EXP(-2*$C842/SQRT(PI()*F$9*F$10)))</f>
        <v>0.000521420544716233</v>
      </c>
      <c r="G842" s="3" t="n">
        <f aca="false">G$8*G$10*(1-EXP(-2*$C842/SQRT(PI()*G$9*G$10)))</f>
        <v>0.000260732135944146</v>
      </c>
      <c r="H842" s="3" t="n">
        <f aca="false">H$8*H$10*(1-EXP(-2*$C842/SQRT(PI()*H$9*H$10)))</f>
        <v>5.21465194556134E-005</v>
      </c>
    </row>
    <row r="843" customFormat="false" ht="15.75" hidden="false" customHeight="false" outlineLevel="0" collapsed="false">
      <c r="C843" s="0" t="n">
        <v>83.1</v>
      </c>
      <c r="D843" s="3" t="n">
        <f aca="false">D$8*D$10*(1-EXP(-2*$C843/SQRT(PI()*D$9*D$10)))</f>
        <v>0.000521465194556137</v>
      </c>
      <c r="E843" s="3" t="n">
        <f aca="false">E$8*E$10*(1-EXP(-2*$C843/SQRT(PI()*E$9*E$10)))</f>
        <v>0.000521464286495086</v>
      </c>
      <c r="F843" s="3" t="n">
        <f aca="false">F$8*F$10*(1-EXP(-2*$C843/SQRT(PI()*F$9*F$10)))</f>
        <v>0.00052142104570389</v>
      </c>
      <c r="G843" s="3" t="n">
        <f aca="false">G$8*G$10*(1-EXP(-2*$C843/SQRT(PI()*G$9*G$10)))</f>
        <v>0.000260732143247543</v>
      </c>
      <c r="H843" s="3" t="n">
        <f aca="false">H$8*H$10*(1-EXP(-2*$C843/SQRT(PI()*H$9*H$10)))</f>
        <v>5.21465194556137E-005</v>
      </c>
    </row>
    <row r="844" customFormat="false" ht="15.75" hidden="false" customHeight="false" outlineLevel="0" collapsed="false">
      <c r="C844" s="0" t="n">
        <v>83.2</v>
      </c>
      <c r="D844" s="3" t="n">
        <f aca="false">D$8*D$10*(1-EXP(-2*$C844/SQRT(PI()*D$9*D$10)))</f>
        <v>0.000521465194556139</v>
      </c>
      <c r="E844" s="3" t="n">
        <f aca="false">E$8*E$10*(1-EXP(-2*$C844/SQRT(PI()*E$9*E$10)))</f>
        <v>0.00052146430087064</v>
      </c>
      <c r="F844" s="3" t="n">
        <f aca="false">F$8*F$10*(1-EXP(-2*$C844/SQRT(PI()*F$9*F$10)))</f>
        <v>0.00052142154107028</v>
      </c>
      <c r="G844" s="3" t="n">
        <f aca="false">G$8*G$10*(1-EXP(-2*$C844/SQRT(PI()*G$9*G$10)))</f>
        <v>0.00026073215043532</v>
      </c>
      <c r="H844" s="3" t="n">
        <f aca="false">H$8*H$10*(1-EXP(-2*$C844/SQRT(PI()*H$9*H$10)))</f>
        <v>5.21465194556139E-005</v>
      </c>
    </row>
    <row r="845" customFormat="false" ht="15.75" hidden="false" customHeight="false" outlineLevel="0" collapsed="false">
      <c r="C845" s="0" t="n">
        <v>83.3</v>
      </c>
      <c r="D845" s="3" t="n">
        <f aca="false">D$8*D$10*(1-EXP(-2*$C845/SQRT(PI()*D$9*D$10)))</f>
        <v>0.000521465194556141</v>
      </c>
      <c r="E845" s="3" t="n">
        <f aca="false">E$8*E$10*(1-EXP(-2*$C845/SQRT(PI()*E$9*E$10)))</f>
        <v>0.000521464315018613</v>
      </c>
      <c r="F845" s="3" t="n">
        <f aca="false">F$8*F$10*(1-EXP(-2*$C845/SQRT(PI()*F$9*F$10)))</f>
        <v>0.000521422030878477</v>
      </c>
      <c r="G845" s="3" t="n">
        <f aca="false">G$8*G$10*(1-EXP(-2*$C845/SQRT(PI()*G$9*G$10)))</f>
        <v>0.000260732157509307</v>
      </c>
      <c r="H845" s="3" t="n">
        <f aca="false">H$8*H$10*(1-EXP(-2*$C845/SQRT(PI()*H$9*H$10)))</f>
        <v>5.21465194556141E-005</v>
      </c>
    </row>
    <row r="846" customFormat="false" ht="15.75" hidden="false" customHeight="false" outlineLevel="0" collapsed="false">
      <c r="C846" s="0" t="n">
        <v>83.4</v>
      </c>
      <c r="D846" s="3" t="n">
        <f aca="false">D$8*D$10*(1-EXP(-2*$C846/SQRT(PI()*D$9*D$10)))</f>
        <v>0.000521465194556144</v>
      </c>
      <c r="E846" s="3" t="n">
        <f aca="false">E$8*E$10*(1-EXP(-2*$C846/SQRT(PI()*E$9*E$10)))</f>
        <v>0.00052146432894261</v>
      </c>
      <c r="F846" s="3" t="n">
        <f aca="false">F$8*F$10*(1-EXP(-2*$C846/SQRT(PI()*F$9*F$10)))</f>
        <v>0.000521422515190846</v>
      </c>
      <c r="G846" s="3" t="n">
        <f aca="false">G$8*G$10*(1-EXP(-2*$C846/SQRT(PI()*G$9*G$10)))</f>
        <v>0.000260732164471305</v>
      </c>
      <c r="H846" s="3" t="n">
        <f aca="false">H$8*H$10*(1-EXP(-2*$C846/SQRT(PI()*H$9*H$10)))</f>
        <v>5.21465194556144E-005</v>
      </c>
    </row>
    <row r="847" customFormat="false" ht="15.75" hidden="false" customHeight="false" outlineLevel="0" collapsed="false">
      <c r="C847" s="0" t="n">
        <v>83.5</v>
      </c>
      <c r="D847" s="3" t="n">
        <f aca="false">D$8*D$10*(1-EXP(-2*$C847/SQRT(PI()*D$9*D$10)))</f>
        <v>0.000521465194556146</v>
      </c>
      <c r="E847" s="3" t="n">
        <f aca="false">E$8*E$10*(1-EXP(-2*$C847/SQRT(PI()*E$9*E$10)))</f>
        <v>0.000521464342646175</v>
      </c>
      <c r="F847" s="3" t="n">
        <f aca="false">F$8*F$10*(1-EXP(-2*$C847/SQRT(PI()*F$9*F$10)))</f>
        <v>0.000521422994069051</v>
      </c>
      <c r="G847" s="3" t="n">
        <f aca="false">G$8*G$10*(1-EXP(-2*$C847/SQRT(PI()*G$9*G$10)))</f>
        <v>0.000260732171323087</v>
      </c>
      <c r="H847" s="3" t="n">
        <f aca="false">H$8*H$10*(1-EXP(-2*$C847/SQRT(PI()*H$9*H$10)))</f>
        <v>5.21465194556146E-005</v>
      </c>
    </row>
    <row r="848" customFormat="false" ht="15.75" hidden="false" customHeight="false" outlineLevel="0" collapsed="false">
      <c r="C848" s="0" t="n">
        <v>83.6</v>
      </c>
      <c r="D848" s="3" t="n">
        <f aca="false">D$8*D$10*(1-EXP(-2*$C848/SQRT(PI()*D$9*D$10)))</f>
        <v>0.000521465194556148</v>
      </c>
      <c r="E848" s="3" t="n">
        <f aca="false">E$8*E$10*(1-EXP(-2*$C848/SQRT(PI()*E$9*E$10)))</f>
        <v>0.000521464356132798</v>
      </c>
      <c r="F848" s="3" t="n">
        <f aca="false">F$8*F$10*(1-EXP(-2*$C848/SQRT(PI()*F$9*F$10)))</f>
        <v>0.000521423467574066</v>
      </c>
      <c r="G848" s="3" t="n">
        <f aca="false">G$8*G$10*(1-EXP(-2*$C848/SQRT(PI()*G$9*G$10)))</f>
        <v>0.000260732178066399</v>
      </c>
      <c r="H848" s="3" t="n">
        <f aca="false">H$8*H$10*(1-EXP(-2*$C848/SQRT(PI()*H$9*H$10)))</f>
        <v>5.21465194556148E-005</v>
      </c>
    </row>
    <row r="849" customFormat="false" ht="15.75" hidden="false" customHeight="false" outlineLevel="0" collapsed="false">
      <c r="C849" s="0" t="n">
        <v>83.7</v>
      </c>
      <c r="D849" s="3" t="n">
        <f aca="false">D$8*D$10*(1-EXP(-2*$C849/SQRT(PI()*D$9*D$10)))</f>
        <v>0.00052146519455615</v>
      </c>
      <c r="E849" s="3" t="n">
        <f aca="false">E$8*E$10*(1-EXP(-2*$C849/SQRT(PI()*E$9*E$10)))</f>
        <v>0.000521464369405914</v>
      </c>
      <c r="F849" s="3" t="n">
        <f aca="false">F$8*F$10*(1-EXP(-2*$C849/SQRT(PI()*F$9*F$10)))</f>
        <v>0.000521423935766181</v>
      </c>
      <c r="G849" s="3" t="n">
        <f aca="false">G$8*G$10*(1-EXP(-2*$C849/SQRT(PI()*G$9*G$10)))</f>
        <v>0.000260732184702957</v>
      </c>
      <c r="H849" s="3" t="n">
        <f aca="false">H$8*H$10*(1-EXP(-2*$C849/SQRT(PI()*H$9*H$10)))</f>
        <v>5.2146519455615E-005</v>
      </c>
    </row>
    <row r="850" customFormat="false" ht="15.75" hidden="false" customHeight="false" outlineLevel="0" collapsed="false">
      <c r="C850" s="0" t="n">
        <v>83.8</v>
      </c>
      <c r="D850" s="3" t="n">
        <f aca="false">D$8*D$10*(1-EXP(-2*$C850/SQRT(PI()*D$9*D$10)))</f>
        <v>0.000521465194556152</v>
      </c>
      <c r="E850" s="3" t="n">
        <f aca="false">E$8*E$10*(1-EXP(-2*$C850/SQRT(PI()*E$9*E$10)))</f>
        <v>0.000521464382468903</v>
      </c>
      <c r="F850" s="3" t="n">
        <f aca="false">F$8*F$10*(1-EXP(-2*$C850/SQRT(PI()*F$9*F$10)))</f>
        <v>0.000521424398705008</v>
      </c>
      <c r="G850" s="3" t="n">
        <f aca="false">G$8*G$10*(1-EXP(-2*$C850/SQRT(PI()*G$9*G$10)))</f>
        <v>0.000260732191234451</v>
      </c>
      <c r="H850" s="3" t="n">
        <f aca="false">H$8*H$10*(1-EXP(-2*$C850/SQRT(PI()*H$9*H$10)))</f>
        <v>5.21465194556152E-005</v>
      </c>
    </row>
    <row r="851" customFormat="false" ht="15.75" hidden="false" customHeight="false" outlineLevel="0" collapsed="false">
      <c r="C851" s="0" t="n">
        <v>83.9</v>
      </c>
      <c r="D851" s="3" t="n">
        <f aca="false">D$8*D$10*(1-EXP(-2*$C851/SQRT(PI()*D$9*D$10)))</f>
        <v>0.000521465194556154</v>
      </c>
      <c r="E851" s="3" t="n">
        <f aca="false">E$8*E$10*(1-EXP(-2*$C851/SQRT(PI()*E$9*E$10)))</f>
        <v>0.000521464395325091</v>
      </c>
      <c r="F851" s="3" t="n">
        <f aca="false">F$8*F$10*(1-EXP(-2*$C851/SQRT(PI()*F$9*F$10)))</f>
        <v>0.00052142485644949</v>
      </c>
      <c r="G851" s="3" t="n">
        <f aca="false">G$8*G$10*(1-EXP(-2*$C851/SQRT(PI()*G$9*G$10)))</f>
        <v>0.000260732197662545</v>
      </c>
      <c r="H851" s="3" t="n">
        <f aca="false">H$8*H$10*(1-EXP(-2*$C851/SQRT(PI()*H$9*H$10)))</f>
        <v>5.21465194556154E-005</v>
      </c>
    </row>
    <row r="852" customFormat="false" ht="15.75" hidden="false" customHeight="false" outlineLevel="0" collapsed="false">
      <c r="C852" s="0" t="n">
        <v>84</v>
      </c>
      <c r="D852" s="3" t="n">
        <f aca="false">D$8*D$10*(1-EXP(-2*$C852/SQRT(PI()*D$9*D$10)))</f>
        <v>0.000521465194556156</v>
      </c>
      <c r="E852" s="3" t="n">
        <f aca="false">E$8*E$10*(1-EXP(-2*$C852/SQRT(PI()*E$9*E$10)))</f>
        <v>0.000521464407977752</v>
      </c>
      <c r="F852" s="3" t="n">
        <f aca="false">F$8*F$10*(1-EXP(-2*$C852/SQRT(PI()*F$9*F$10)))</f>
        <v>0.000521425309057911</v>
      </c>
      <c r="G852" s="3" t="n">
        <f aca="false">G$8*G$10*(1-EXP(-2*$C852/SQRT(PI()*G$9*G$10)))</f>
        <v>0.000260732203988876</v>
      </c>
      <c r="H852" s="3" t="n">
        <f aca="false">H$8*H$10*(1-EXP(-2*$C852/SQRT(PI()*H$9*H$10)))</f>
        <v>5.21465194556156E-005</v>
      </c>
    </row>
    <row r="853" customFormat="false" ht="15.75" hidden="false" customHeight="false" outlineLevel="0" collapsed="false">
      <c r="C853" s="0" t="n">
        <v>84.1</v>
      </c>
      <c r="D853" s="3" t="n">
        <f aca="false">D$8*D$10*(1-EXP(-2*$C853/SQRT(PI()*D$9*D$10)))</f>
        <v>0.000521465194556157</v>
      </c>
      <c r="E853" s="3" t="n">
        <f aca="false">E$8*E$10*(1-EXP(-2*$C853/SQRT(PI()*E$9*E$10)))</f>
        <v>0.000521464420430109</v>
      </c>
      <c r="F853" s="3" t="n">
        <f aca="false">F$8*F$10*(1-EXP(-2*$C853/SQRT(PI()*F$9*F$10)))</f>
        <v>0.000521425756587898</v>
      </c>
      <c r="G853" s="3" t="n">
        <f aca="false">G$8*G$10*(1-EXP(-2*$C853/SQRT(PI()*G$9*G$10)))</f>
        <v>0.000260732210215054</v>
      </c>
      <c r="H853" s="3" t="n">
        <f aca="false">H$8*H$10*(1-EXP(-2*$C853/SQRT(PI()*H$9*H$10)))</f>
        <v>5.21465194556157E-005</v>
      </c>
    </row>
    <row r="854" customFormat="false" ht="15.75" hidden="false" customHeight="false" outlineLevel="0" collapsed="false">
      <c r="C854" s="0" t="n">
        <v>84.2</v>
      </c>
      <c r="D854" s="3" t="n">
        <f aca="false">D$8*D$10*(1-EXP(-2*$C854/SQRT(PI()*D$9*D$10)))</f>
        <v>0.000521465194556159</v>
      </c>
      <c r="E854" s="3" t="n">
        <f aca="false">E$8*E$10*(1-EXP(-2*$C854/SQRT(PI()*E$9*E$10)))</f>
        <v>0.000521464432685331</v>
      </c>
      <c r="F854" s="3" t="n">
        <f aca="false">F$8*F$10*(1-EXP(-2*$C854/SQRT(PI()*F$9*F$10)))</f>
        <v>0.000521426199096435</v>
      </c>
      <c r="G854" s="3" t="n">
        <f aca="false">G$8*G$10*(1-EXP(-2*$C854/SQRT(PI()*G$9*G$10)))</f>
        <v>0.000260732216342666</v>
      </c>
      <c r="H854" s="3" t="n">
        <f aca="false">H$8*H$10*(1-EXP(-2*$C854/SQRT(PI()*H$9*H$10)))</f>
        <v>5.21465194556159E-005</v>
      </c>
    </row>
    <row r="855" customFormat="false" ht="15.75" hidden="false" customHeight="false" outlineLevel="0" collapsed="false">
      <c r="C855" s="0" t="n">
        <v>84.3</v>
      </c>
      <c r="D855" s="3" t="n">
        <f aca="false">D$8*D$10*(1-EXP(-2*$C855/SQRT(PI()*D$9*D$10)))</f>
        <v>0.000521465194556161</v>
      </c>
      <c r="E855" s="3" t="n">
        <f aca="false">E$8*E$10*(1-EXP(-2*$C855/SQRT(PI()*E$9*E$10)))</f>
        <v>0.000521464444746541</v>
      </c>
      <c r="F855" s="3" t="n">
        <f aca="false">F$8*F$10*(1-EXP(-2*$C855/SQRT(PI()*F$9*F$10)))</f>
        <v>0.000521426636639862</v>
      </c>
      <c r="G855" s="3" t="n">
        <f aca="false">G$8*G$10*(1-EXP(-2*$C855/SQRT(PI()*G$9*G$10)))</f>
        <v>0.00026073222237327</v>
      </c>
      <c r="H855" s="3" t="n">
        <f aca="false">H$8*H$10*(1-EXP(-2*$C855/SQRT(PI()*H$9*H$10)))</f>
        <v>5.21465194556161E-005</v>
      </c>
    </row>
    <row r="856" customFormat="false" ht="15.75" hidden="false" customHeight="false" outlineLevel="0" collapsed="false">
      <c r="C856" s="0" t="n">
        <v>84.4</v>
      </c>
      <c r="D856" s="3" t="n">
        <f aca="false">D$8*D$10*(1-EXP(-2*$C856/SQRT(PI()*D$9*D$10)))</f>
        <v>0.000521465194556162</v>
      </c>
      <c r="E856" s="3" t="n">
        <f aca="false">E$8*E$10*(1-EXP(-2*$C856/SQRT(PI()*E$9*E$10)))</f>
        <v>0.000521464456616809</v>
      </c>
      <c r="F856" s="3" t="n">
        <f aca="false">F$8*F$10*(1-EXP(-2*$C856/SQRT(PI()*F$9*F$10)))</f>
        <v>0.000521427069273891</v>
      </c>
      <c r="G856" s="3" t="n">
        <f aca="false">G$8*G$10*(1-EXP(-2*$C856/SQRT(PI()*G$9*G$10)))</f>
        <v>0.000260732228308404</v>
      </c>
      <c r="H856" s="3" t="n">
        <f aca="false">H$8*H$10*(1-EXP(-2*$C856/SQRT(PI()*H$9*H$10)))</f>
        <v>5.21465194556162E-005</v>
      </c>
    </row>
    <row r="857" customFormat="false" ht="15.75" hidden="false" customHeight="false" outlineLevel="0" collapsed="false">
      <c r="C857" s="0" t="n">
        <v>84.5</v>
      </c>
      <c r="D857" s="3" t="n">
        <f aca="false">D$8*D$10*(1-EXP(-2*$C857/SQRT(PI()*D$9*D$10)))</f>
        <v>0.000521465194556164</v>
      </c>
      <c r="E857" s="3" t="n">
        <f aca="false">E$8*E$10*(1-EXP(-2*$C857/SQRT(PI()*E$9*E$10)))</f>
        <v>0.000521464468299159</v>
      </c>
      <c r="F857" s="3" t="n">
        <f aca="false">F$8*F$10*(1-EXP(-2*$C857/SQRT(PI()*F$9*F$10)))</f>
        <v>0.000521427497053606</v>
      </c>
      <c r="G857" s="3" t="n">
        <f aca="false">G$8*G$10*(1-EXP(-2*$C857/SQRT(PI()*G$9*G$10)))</f>
        <v>0.000260732234149579</v>
      </c>
      <c r="H857" s="3" t="n">
        <f aca="false">H$8*H$10*(1-EXP(-2*$C857/SQRT(PI()*H$9*H$10)))</f>
        <v>5.21465194556164E-005</v>
      </c>
    </row>
    <row r="858" customFormat="false" ht="15.75" hidden="false" customHeight="false" outlineLevel="0" collapsed="false">
      <c r="C858" s="0" t="n">
        <v>84.6</v>
      </c>
      <c r="D858" s="3" t="n">
        <f aca="false">D$8*D$10*(1-EXP(-2*$C858/SQRT(PI()*D$9*D$10)))</f>
        <v>0.000521465194556165</v>
      </c>
      <c r="E858" s="3" t="n">
        <f aca="false">E$8*E$10*(1-EXP(-2*$C858/SQRT(PI()*E$9*E$10)))</f>
        <v>0.000521464479796564</v>
      </c>
      <c r="F858" s="3" t="n">
        <f aca="false">F$8*F$10*(1-EXP(-2*$C858/SQRT(PI()*F$9*F$10)))</f>
        <v>0.000521427920033476</v>
      </c>
      <c r="G858" s="3" t="n">
        <f aca="false">G$8*G$10*(1-EXP(-2*$C858/SQRT(PI()*G$9*G$10)))</f>
        <v>0.000260732239898282</v>
      </c>
      <c r="H858" s="3" t="n">
        <f aca="false">H$8*H$10*(1-EXP(-2*$C858/SQRT(PI()*H$9*H$10)))</f>
        <v>5.21465194556165E-005</v>
      </c>
    </row>
    <row r="859" customFormat="false" ht="15.75" hidden="false" customHeight="false" outlineLevel="0" collapsed="false">
      <c r="C859" s="0" t="n">
        <v>84.7</v>
      </c>
      <c r="D859" s="3" t="n">
        <f aca="false">D$8*D$10*(1-EXP(-2*$C859/SQRT(PI()*D$9*D$10)))</f>
        <v>0.000521465194556167</v>
      </c>
      <c r="E859" s="3" t="n">
        <f aca="false">E$8*E$10*(1-EXP(-2*$C859/SQRT(PI()*E$9*E$10)))</f>
        <v>0.000521464491111954</v>
      </c>
      <c r="F859" s="3" t="n">
        <f aca="false">F$8*F$10*(1-EXP(-2*$C859/SQRT(PI()*F$9*F$10)))</f>
        <v>0.000521428338267355</v>
      </c>
      <c r="G859" s="3" t="n">
        <f aca="false">G$8*G$10*(1-EXP(-2*$C859/SQRT(PI()*G$9*G$10)))</f>
        <v>0.000260732245555977</v>
      </c>
      <c r="H859" s="3" t="n">
        <f aca="false">H$8*H$10*(1-EXP(-2*$C859/SQRT(PI()*H$9*H$10)))</f>
        <v>5.21465194556167E-005</v>
      </c>
    </row>
    <row r="860" customFormat="false" ht="15.75" hidden="false" customHeight="false" outlineLevel="0" collapsed="false">
      <c r="C860" s="0" t="n">
        <v>84.8</v>
      </c>
      <c r="D860" s="3" t="n">
        <f aca="false">D$8*D$10*(1-EXP(-2*$C860/SQRT(PI()*D$9*D$10)))</f>
        <v>0.000521465194556168</v>
      </c>
      <c r="E860" s="3" t="n">
        <f aca="false">E$8*E$10*(1-EXP(-2*$C860/SQRT(PI()*E$9*E$10)))</f>
        <v>0.000521464502248209</v>
      </c>
      <c r="F860" s="3" t="n">
        <f aca="false">F$8*F$10*(1-EXP(-2*$C860/SQRT(PI()*F$9*F$10)))</f>
        <v>0.000521428751808497</v>
      </c>
      <c r="G860" s="3" t="n">
        <f aca="false">G$8*G$10*(1-EXP(-2*$C860/SQRT(PI()*G$9*G$10)))</f>
        <v>0.000260732251124105</v>
      </c>
      <c r="H860" s="3" t="n">
        <f aca="false">H$8*H$10*(1-EXP(-2*$C860/SQRT(PI()*H$9*H$10)))</f>
        <v>5.21465194556168E-005</v>
      </c>
    </row>
    <row r="861" customFormat="false" ht="15.75" hidden="false" customHeight="false" outlineLevel="0" collapsed="false">
      <c r="C861" s="0" t="n">
        <v>84.9</v>
      </c>
      <c r="D861" s="3" t="n">
        <f aca="false">D$8*D$10*(1-EXP(-2*$C861/SQRT(PI()*D$9*D$10)))</f>
        <v>0.000521465194556169</v>
      </c>
      <c r="E861" s="3" t="n">
        <f aca="false">E$8*E$10*(1-EXP(-2*$C861/SQRT(PI()*E$9*E$10)))</f>
        <v>0.000521464513208166</v>
      </c>
      <c r="F861" s="3" t="n">
        <f aca="false">F$8*F$10*(1-EXP(-2*$C861/SQRT(PI()*F$9*F$10)))</f>
        <v>0.000521429160709554</v>
      </c>
      <c r="G861" s="3" t="n">
        <f aca="false">G$8*G$10*(1-EXP(-2*$C861/SQRT(PI()*G$9*G$10)))</f>
        <v>0.000260732256604083</v>
      </c>
      <c r="H861" s="3" t="n">
        <f aca="false">H$8*H$10*(1-EXP(-2*$C861/SQRT(PI()*H$9*H$10)))</f>
        <v>5.21465194556169E-005</v>
      </c>
    </row>
    <row r="862" customFormat="false" ht="15.75" hidden="false" customHeight="false" outlineLevel="0" collapsed="false">
      <c r="C862" s="0" t="n">
        <v>85</v>
      </c>
      <c r="D862" s="3" t="n">
        <f aca="false">D$8*D$10*(1-EXP(-2*$C862/SQRT(PI()*D$9*D$10)))</f>
        <v>0.000521465194556171</v>
      </c>
      <c r="E862" s="3" t="n">
        <f aca="false">E$8*E$10*(1-EXP(-2*$C862/SQRT(PI()*E$9*E$10)))</f>
        <v>0.000521464523994616</v>
      </c>
      <c r="F862" s="3" t="n">
        <f aca="false">F$8*F$10*(1-EXP(-2*$C862/SQRT(PI()*F$9*F$10)))</f>
        <v>0.000521429565022591</v>
      </c>
      <c r="G862" s="3" t="n">
        <f aca="false">G$8*G$10*(1-EXP(-2*$C862/SQRT(PI()*G$9*G$10)))</f>
        <v>0.000260732261997308</v>
      </c>
      <c r="H862" s="3" t="n">
        <f aca="false">H$8*H$10*(1-EXP(-2*$C862/SQRT(PI()*H$9*H$10)))</f>
        <v>5.21465194556171E-005</v>
      </c>
    </row>
    <row r="863" customFormat="false" ht="15.75" hidden="false" customHeight="false" outlineLevel="0" collapsed="false">
      <c r="C863" s="0" t="n">
        <v>85.1</v>
      </c>
      <c r="D863" s="3" t="n">
        <f aca="false">D$8*D$10*(1-EXP(-2*$C863/SQRT(PI()*D$9*D$10)))</f>
        <v>0.000521465194556172</v>
      </c>
      <c r="E863" s="3" t="n">
        <f aca="false">E$8*E$10*(1-EXP(-2*$C863/SQRT(PI()*E$9*E$10)))</f>
        <v>0.000521464534610304</v>
      </c>
      <c r="F863" s="3" t="n">
        <f aca="false">F$8*F$10*(1-EXP(-2*$C863/SQRT(PI()*F$9*F$10)))</f>
        <v>0.000521429964799086</v>
      </c>
      <c r="G863" s="3" t="n">
        <f aca="false">G$8*G$10*(1-EXP(-2*$C863/SQRT(PI()*G$9*G$10)))</f>
        <v>0.000260732267305152</v>
      </c>
      <c r="H863" s="3" t="n">
        <f aca="false">H$8*H$10*(1-EXP(-2*$C863/SQRT(PI()*H$9*H$10)))</f>
        <v>5.21465194556172E-005</v>
      </c>
    </row>
    <row r="864" customFormat="false" ht="15.75" hidden="false" customHeight="false" outlineLevel="0" collapsed="false">
      <c r="C864" s="0" t="n">
        <v>85.2</v>
      </c>
      <c r="D864" s="3" t="n">
        <f aca="false">D$8*D$10*(1-EXP(-2*$C864/SQRT(PI()*D$9*D$10)))</f>
        <v>0.000521465194556173</v>
      </c>
      <c r="E864" s="3" t="n">
        <f aca="false">E$8*E$10*(1-EXP(-2*$C864/SQRT(PI()*E$9*E$10)))</f>
        <v>0.000521464545057935</v>
      </c>
      <c r="F864" s="3" t="n">
        <f aca="false">F$8*F$10*(1-EXP(-2*$C864/SQRT(PI()*F$9*F$10)))</f>
        <v>0.000521430360089942</v>
      </c>
      <c r="G864" s="3" t="n">
        <f aca="false">G$8*G$10*(1-EXP(-2*$C864/SQRT(PI()*G$9*G$10)))</f>
        <v>0.000260732272528968</v>
      </c>
      <c r="H864" s="3" t="n">
        <f aca="false">H$8*H$10*(1-EXP(-2*$C864/SQRT(PI()*H$9*H$10)))</f>
        <v>5.21465194556173E-005</v>
      </c>
    </row>
    <row r="865" customFormat="false" ht="15.75" hidden="false" customHeight="false" outlineLevel="0" collapsed="false">
      <c r="C865" s="0" t="n">
        <v>85.3</v>
      </c>
      <c r="D865" s="3" t="n">
        <f aca="false">D$8*D$10*(1-EXP(-2*$C865/SQRT(PI()*D$9*D$10)))</f>
        <v>0.000521465194556174</v>
      </c>
      <c r="E865" s="3" t="n">
        <f aca="false">E$8*E$10*(1-EXP(-2*$C865/SQRT(PI()*E$9*E$10)))</f>
        <v>0.00052146455534017</v>
      </c>
      <c r="F865" s="3" t="n">
        <f aca="false">F$8*F$10*(1-EXP(-2*$C865/SQRT(PI()*F$9*F$10)))</f>
        <v>0.000521430750945489</v>
      </c>
      <c r="G865" s="3" t="n">
        <f aca="false">G$8*G$10*(1-EXP(-2*$C865/SQRT(PI()*G$9*G$10)))</f>
        <v>0.000260732277670085</v>
      </c>
      <c r="H865" s="3" t="n">
        <f aca="false">H$8*H$10*(1-EXP(-2*$C865/SQRT(PI()*H$9*H$10)))</f>
        <v>5.21465194556174E-005</v>
      </c>
    </row>
    <row r="866" customFormat="false" ht="15.75" hidden="false" customHeight="false" outlineLevel="0" collapsed="false">
      <c r="C866" s="0" t="n">
        <v>85.4</v>
      </c>
      <c r="D866" s="3" t="n">
        <f aca="false">D$8*D$10*(1-EXP(-2*$C866/SQRT(PI()*D$9*D$10)))</f>
        <v>0.000521465194556175</v>
      </c>
      <c r="E866" s="3" t="n">
        <f aca="false">E$8*E$10*(1-EXP(-2*$C866/SQRT(PI()*E$9*E$10)))</f>
        <v>0.000521464565459625</v>
      </c>
      <c r="F866" s="3" t="n">
        <f aca="false">F$8*F$10*(1-EXP(-2*$C866/SQRT(PI()*F$9*F$10)))</f>
        <v>0.000521431137415493</v>
      </c>
      <c r="G866" s="3" t="n">
        <f aca="false">G$8*G$10*(1-EXP(-2*$C866/SQRT(PI()*G$9*G$10)))</f>
        <v>0.000260732282729813</v>
      </c>
      <c r="H866" s="3" t="n">
        <f aca="false">H$8*H$10*(1-EXP(-2*$C866/SQRT(PI()*H$9*H$10)))</f>
        <v>5.21465194556175E-005</v>
      </c>
    </row>
    <row r="867" customFormat="false" ht="15.75" hidden="false" customHeight="false" outlineLevel="0" collapsed="false">
      <c r="C867" s="0" t="n">
        <v>85.5</v>
      </c>
      <c r="D867" s="3" t="n">
        <f aca="false">D$8*D$10*(1-EXP(-2*$C867/SQRT(PI()*D$9*D$10)))</f>
        <v>0.000521465194556176</v>
      </c>
      <c r="E867" s="3" t="n">
        <f aca="false">E$8*E$10*(1-EXP(-2*$C867/SQRT(PI()*E$9*E$10)))</f>
        <v>0.00052146457541888</v>
      </c>
      <c r="F867" s="3" t="n">
        <f aca="false">F$8*F$10*(1-EXP(-2*$C867/SQRT(PI()*F$9*F$10)))</f>
        <v>0.000521431519549161</v>
      </c>
      <c r="G867" s="3" t="n">
        <f aca="false">G$8*G$10*(1-EXP(-2*$C867/SQRT(PI()*G$9*G$10)))</f>
        <v>0.00026073228770944</v>
      </c>
      <c r="H867" s="3" t="n">
        <f aca="false">H$8*H$10*(1-EXP(-2*$C867/SQRT(PI()*H$9*H$10)))</f>
        <v>5.21465194556176E-005</v>
      </c>
    </row>
    <row r="868" customFormat="false" ht="15.75" hidden="false" customHeight="false" outlineLevel="0" collapsed="false">
      <c r="C868" s="0" t="n">
        <v>85.6</v>
      </c>
      <c r="D868" s="3" t="n">
        <f aca="false">D$8*D$10*(1-EXP(-2*$C868/SQRT(PI()*D$9*D$10)))</f>
        <v>0.000521465194556177</v>
      </c>
      <c r="E868" s="3" t="n">
        <f aca="false">E$8*E$10*(1-EXP(-2*$C868/SQRT(PI()*E$9*E$10)))</f>
        <v>0.000521464585220469</v>
      </c>
      <c r="F868" s="3" t="n">
        <f aca="false">F$8*F$10*(1-EXP(-2*$C868/SQRT(PI()*F$9*F$10)))</f>
        <v>0.000521431897395148</v>
      </c>
      <c r="G868" s="3" t="n">
        <f aca="false">G$8*G$10*(1-EXP(-2*$C868/SQRT(PI()*G$9*G$10)))</f>
        <v>0.000260732292610234</v>
      </c>
      <c r="H868" s="3" t="n">
        <f aca="false">H$8*H$10*(1-EXP(-2*$C868/SQRT(PI()*H$9*H$10)))</f>
        <v>5.21465194556177E-005</v>
      </c>
    </row>
    <row r="869" customFormat="false" ht="15.75" hidden="false" customHeight="false" outlineLevel="0" collapsed="false">
      <c r="C869" s="0" t="n">
        <v>85.7</v>
      </c>
      <c r="D869" s="3" t="n">
        <f aca="false">D$8*D$10*(1-EXP(-2*$C869/SQRT(PI()*D$9*D$10)))</f>
        <v>0.000521465194556178</v>
      </c>
      <c r="E869" s="3" t="n">
        <f aca="false">E$8*E$10*(1-EXP(-2*$C869/SQRT(PI()*E$9*E$10)))</f>
        <v>0.000521464594866888</v>
      </c>
      <c r="F869" s="3" t="n">
        <f aca="false">F$8*F$10*(1-EXP(-2*$C869/SQRT(PI()*F$9*F$10)))</f>
        <v>0.000521432271001564</v>
      </c>
      <c r="G869" s="3" t="n">
        <f aca="false">G$8*G$10*(1-EXP(-2*$C869/SQRT(PI()*G$9*G$10)))</f>
        <v>0.000260732297433444</v>
      </c>
      <c r="H869" s="3" t="n">
        <f aca="false">H$8*H$10*(1-EXP(-2*$C869/SQRT(PI()*H$9*H$10)))</f>
        <v>5.21465194556178E-005</v>
      </c>
    </row>
    <row r="870" customFormat="false" ht="15.75" hidden="false" customHeight="false" outlineLevel="0" collapsed="false">
      <c r="C870" s="0" t="n">
        <v>85.8</v>
      </c>
      <c r="D870" s="3" t="n">
        <f aca="false">D$8*D$10*(1-EXP(-2*$C870/SQRT(PI()*D$9*D$10)))</f>
        <v>0.000521465194556179</v>
      </c>
      <c r="E870" s="3" t="n">
        <f aca="false">E$8*E$10*(1-EXP(-2*$C870/SQRT(PI()*E$9*E$10)))</f>
        <v>0.000521464604360595</v>
      </c>
      <c r="F870" s="3" t="n">
        <f aca="false">F$8*F$10*(1-EXP(-2*$C870/SQRT(PI()*F$9*F$10)))</f>
        <v>0.000521432640415978</v>
      </c>
      <c r="G870" s="3" t="n">
        <f aca="false">G$8*G$10*(1-EXP(-2*$C870/SQRT(PI()*G$9*G$10)))</f>
        <v>0.000260732302180297</v>
      </c>
      <c r="H870" s="3" t="n">
        <f aca="false">H$8*H$10*(1-EXP(-2*$C870/SQRT(PI()*H$9*H$10)))</f>
        <v>5.21465194556179E-005</v>
      </c>
    </row>
    <row r="871" customFormat="false" ht="15.75" hidden="false" customHeight="false" outlineLevel="0" collapsed="false">
      <c r="C871" s="0" t="n">
        <v>85.9</v>
      </c>
      <c r="D871" s="3" t="n">
        <f aca="false">D$8*D$10*(1-EXP(-2*$C871/SQRT(PI()*D$9*D$10)))</f>
        <v>0.00052146519455618</v>
      </c>
      <c r="E871" s="3" t="n">
        <f aca="false">E$8*E$10*(1-EXP(-2*$C871/SQRT(PI()*E$9*E$10)))</f>
        <v>0.000521464613704006</v>
      </c>
      <c r="F871" s="3" t="n">
        <f aca="false">F$8*F$10*(1-EXP(-2*$C871/SQRT(PI()*F$9*F$10)))</f>
        <v>0.000521433005685427</v>
      </c>
      <c r="G871" s="3" t="n">
        <f aca="false">G$8*G$10*(1-EXP(-2*$C871/SQRT(PI()*G$9*G$10)))</f>
        <v>0.000260732306852003</v>
      </c>
      <c r="H871" s="3" t="n">
        <f aca="false">H$8*H$10*(1-EXP(-2*$C871/SQRT(PI()*H$9*H$10)))</f>
        <v>5.2146519455618E-005</v>
      </c>
    </row>
    <row r="872" customFormat="false" ht="15.75" hidden="false" customHeight="false" outlineLevel="0" collapsed="false">
      <c r="C872" s="0" t="n">
        <v>86</v>
      </c>
      <c r="D872" s="3" t="n">
        <f aca="false">D$8*D$10*(1-EXP(-2*$C872/SQRT(PI()*D$9*D$10)))</f>
        <v>0.000521465194556181</v>
      </c>
      <c r="E872" s="3" t="n">
        <f aca="false">E$8*E$10*(1-EXP(-2*$C872/SQRT(PI()*E$9*E$10)))</f>
        <v>0.000521464622899502</v>
      </c>
      <c r="F872" s="3" t="n">
        <f aca="false">F$8*F$10*(1-EXP(-2*$C872/SQRT(PI()*F$9*F$10)))</f>
        <v>0.000521433366856418</v>
      </c>
      <c r="G872" s="3" t="n">
        <f aca="false">G$8*G$10*(1-EXP(-2*$C872/SQRT(PI()*G$9*G$10)))</f>
        <v>0.000260732311449751</v>
      </c>
      <c r="H872" s="3" t="n">
        <f aca="false">H$8*H$10*(1-EXP(-2*$C872/SQRT(PI()*H$9*H$10)))</f>
        <v>5.21465194556181E-005</v>
      </c>
    </row>
    <row r="873" customFormat="false" ht="15.75" hidden="false" customHeight="false" outlineLevel="0" collapsed="false">
      <c r="C873" s="0" t="n">
        <v>86.1</v>
      </c>
      <c r="D873" s="3" t="n">
        <f aca="false">D$8*D$10*(1-EXP(-2*$C873/SQRT(PI()*D$9*D$10)))</f>
        <v>0.000521465194556182</v>
      </c>
      <c r="E873" s="3" t="n">
        <f aca="false">E$8*E$10*(1-EXP(-2*$C873/SQRT(PI()*E$9*E$10)))</f>
        <v>0.000521464631949423</v>
      </c>
      <c r="F873" s="3" t="n">
        <f aca="false">F$8*F$10*(1-EXP(-2*$C873/SQRT(PI()*F$9*F$10)))</f>
        <v>0.000521433723974937</v>
      </c>
      <c r="G873" s="3" t="n">
        <f aca="false">G$8*G$10*(1-EXP(-2*$C873/SQRT(PI()*G$9*G$10)))</f>
        <v>0.000260732315974711</v>
      </c>
      <c r="H873" s="3" t="n">
        <f aca="false">H$8*H$10*(1-EXP(-2*$C873/SQRT(PI()*H$9*H$10)))</f>
        <v>5.21465194556182E-005</v>
      </c>
    </row>
    <row r="874" customFormat="false" ht="15.75" hidden="false" customHeight="false" outlineLevel="0" collapsed="false">
      <c r="C874" s="0" t="n">
        <v>86.2</v>
      </c>
      <c r="D874" s="3" t="n">
        <f aca="false">D$8*D$10*(1-EXP(-2*$C874/SQRT(PI()*D$9*D$10)))</f>
        <v>0.000521465194556183</v>
      </c>
      <c r="E874" s="3" t="n">
        <f aca="false">E$8*E$10*(1-EXP(-2*$C874/SQRT(PI()*E$9*E$10)))</f>
        <v>0.000521464640856074</v>
      </c>
      <c r="F874" s="3" t="n">
        <f aca="false">F$8*F$10*(1-EXP(-2*$C874/SQRT(PI()*F$9*F$10)))</f>
        <v>0.000521434077086454</v>
      </c>
      <c r="G874" s="3" t="n">
        <f aca="false">G$8*G$10*(1-EXP(-2*$C874/SQRT(PI()*G$9*G$10)))</f>
        <v>0.000260732320428037</v>
      </c>
      <c r="H874" s="3" t="n">
        <f aca="false">H$8*H$10*(1-EXP(-2*$C874/SQRT(PI()*H$9*H$10)))</f>
        <v>5.21465194556183E-005</v>
      </c>
    </row>
    <row r="875" customFormat="false" ht="15.75" hidden="false" customHeight="false" outlineLevel="0" collapsed="false">
      <c r="C875" s="0" t="n">
        <v>86.3</v>
      </c>
      <c r="D875" s="3" t="n">
        <f aca="false">D$8*D$10*(1-EXP(-2*$C875/SQRT(PI()*D$9*D$10)))</f>
        <v>0.000521465194556184</v>
      </c>
      <c r="E875" s="3" t="n">
        <f aca="false">E$8*E$10*(1-EXP(-2*$C875/SQRT(PI()*E$9*E$10)))</f>
        <v>0.000521464649621724</v>
      </c>
      <c r="F875" s="3" t="n">
        <f aca="false">F$8*F$10*(1-EXP(-2*$C875/SQRT(PI()*F$9*F$10)))</f>
        <v>0.000521434426235931</v>
      </c>
      <c r="G875" s="3" t="n">
        <f aca="false">G$8*G$10*(1-EXP(-2*$C875/SQRT(PI()*G$9*G$10)))</f>
        <v>0.000260732324810862</v>
      </c>
      <c r="H875" s="3" t="n">
        <f aca="false">H$8*H$10*(1-EXP(-2*$C875/SQRT(PI()*H$9*H$10)))</f>
        <v>5.21465194556184E-005</v>
      </c>
    </row>
    <row r="876" customFormat="false" ht="15.75" hidden="false" customHeight="false" outlineLevel="0" collapsed="false">
      <c r="C876" s="0" t="n">
        <v>86.4</v>
      </c>
      <c r="D876" s="3" t="n">
        <f aca="false">D$8*D$10*(1-EXP(-2*$C876/SQRT(PI()*D$9*D$10)))</f>
        <v>0.000521465194556184</v>
      </c>
      <c r="E876" s="3" t="n">
        <f aca="false">E$8*E$10*(1-EXP(-2*$C876/SQRT(PI()*E$9*E$10)))</f>
        <v>0.000521464658248605</v>
      </c>
      <c r="F876" s="3" t="n">
        <f aca="false">F$8*F$10*(1-EXP(-2*$C876/SQRT(PI()*F$9*F$10)))</f>
        <v>0.000521434771467822</v>
      </c>
      <c r="G876" s="3" t="n">
        <f aca="false">G$8*G$10*(1-EXP(-2*$C876/SQRT(PI()*G$9*G$10)))</f>
        <v>0.000260732329124302</v>
      </c>
      <c r="H876" s="3" t="n">
        <f aca="false">H$8*H$10*(1-EXP(-2*$C876/SQRT(PI()*H$9*H$10)))</f>
        <v>5.21465194556184E-005</v>
      </c>
    </row>
    <row r="877" customFormat="false" ht="15.75" hidden="false" customHeight="false" outlineLevel="0" collapsed="false">
      <c r="C877" s="0" t="n">
        <v>86.5</v>
      </c>
      <c r="D877" s="3" t="n">
        <f aca="false">D$8*D$10*(1-EXP(-2*$C877/SQRT(PI()*D$9*D$10)))</f>
        <v>0.000521465194556185</v>
      </c>
      <c r="E877" s="3" t="n">
        <f aca="false">E$8*E$10*(1-EXP(-2*$C877/SQRT(PI()*E$9*E$10)))</f>
        <v>0.000521464666738913</v>
      </c>
      <c r="F877" s="3" t="n">
        <f aca="false">F$8*F$10*(1-EXP(-2*$C877/SQRT(PI()*F$9*F$10)))</f>
        <v>0.000521435112826083</v>
      </c>
      <c r="G877" s="3" t="n">
        <f aca="false">G$8*G$10*(1-EXP(-2*$C877/SQRT(PI()*G$9*G$10)))</f>
        <v>0.000260732333369456</v>
      </c>
      <c r="H877" s="3" t="n">
        <f aca="false">H$8*H$10*(1-EXP(-2*$C877/SQRT(PI()*H$9*H$10)))</f>
        <v>5.21465194556185E-005</v>
      </c>
    </row>
    <row r="878" customFormat="false" ht="15.75" hidden="false" customHeight="false" outlineLevel="0" collapsed="false">
      <c r="C878" s="0" t="n">
        <v>86.6</v>
      </c>
      <c r="D878" s="3" t="n">
        <f aca="false">D$8*D$10*(1-EXP(-2*$C878/SQRT(PI()*D$9*D$10)))</f>
        <v>0.000521465194556186</v>
      </c>
      <c r="E878" s="3" t="n">
        <f aca="false">E$8*E$10*(1-EXP(-2*$C878/SQRT(PI()*E$9*E$10)))</f>
        <v>0.000521464675094811</v>
      </c>
      <c r="F878" s="3" t="n">
        <f aca="false">F$8*F$10*(1-EXP(-2*$C878/SQRT(PI()*F$9*F$10)))</f>
        <v>0.00052143545035418</v>
      </c>
      <c r="G878" s="3" t="n">
        <f aca="false">G$8*G$10*(1-EXP(-2*$C878/SQRT(PI()*G$9*G$10)))</f>
        <v>0.000260732337547405</v>
      </c>
      <c r="H878" s="3" t="n">
        <f aca="false">H$8*H$10*(1-EXP(-2*$C878/SQRT(PI()*H$9*H$10)))</f>
        <v>5.21465194556186E-005</v>
      </c>
    </row>
    <row r="879" customFormat="false" ht="15.75" hidden="false" customHeight="false" outlineLevel="0" collapsed="false">
      <c r="C879" s="0" t="n">
        <v>86.7</v>
      </c>
      <c r="D879" s="3" t="n">
        <f aca="false">D$8*D$10*(1-EXP(-2*$C879/SQRT(PI()*D$9*D$10)))</f>
        <v>0.000521465194556187</v>
      </c>
      <c r="E879" s="3" t="n">
        <f aca="false">E$8*E$10*(1-EXP(-2*$C879/SQRT(PI()*E$9*E$10)))</f>
        <v>0.000521464683318426</v>
      </c>
      <c r="F879" s="3" t="n">
        <f aca="false">F$8*F$10*(1-EXP(-2*$C879/SQRT(PI()*F$9*F$10)))</f>
        <v>0.000521435784095086</v>
      </c>
      <c r="G879" s="3" t="n">
        <f aca="false">G$8*G$10*(1-EXP(-2*$C879/SQRT(PI()*G$9*G$10)))</f>
        <v>0.000260732341659213</v>
      </c>
      <c r="H879" s="3" t="n">
        <f aca="false">H$8*H$10*(1-EXP(-2*$C879/SQRT(PI()*H$9*H$10)))</f>
        <v>5.21465194556187E-005</v>
      </c>
    </row>
    <row r="880" customFormat="false" ht="15.75" hidden="false" customHeight="false" outlineLevel="0" collapsed="false">
      <c r="C880" s="0" t="n">
        <v>86.8</v>
      </c>
      <c r="D880" s="3" t="n">
        <f aca="false">D$8*D$10*(1-EXP(-2*$C880/SQRT(PI()*D$9*D$10)))</f>
        <v>0.000521465194556187</v>
      </c>
      <c r="E880" s="3" t="n">
        <f aca="false">E$8*E$10*(1-EXP(-2*$C880/SQRT(PI()*E$9*E$10)))</f>
        <v>0.000521464691411852</v>
      </c>
      <c r="F880" s="3" t="n">
        <f aca="false">F$8*F$10*(1-EXP(-2*$C880/SQRT(PI()*F$9*F$10)))</f>
        <v>0.000521436114091297</v>
      </c>
      <c r="G880" s="3" t="n">
        <f aca="false">G$8*G$10*(1-EXP(-2*$C880/SQRT(PI()*G$9*G$10)))</f>
        <v>0.000260732345705926</v>
      </c>
      <c r="H880" s="3" t="n">
        <f aca="false">H$8*H$10*(1-EXP(-2*$C880/SQRT(PI()*H$9*H$10)))</f>
        <v>5.21465194556187E-005</v>
      </c>
    </row>
    <row r="881" customFormat="false" ht="15.75" hidden="false" customHeight="false" outlineLevel="0" collapsed="false">
      <c r="C881" s="0" t="n">
        <v>86.9</v>
      </c>
      <c r="D881" s="3" t="n">
        <f aca="false">D$8*D$10*(1-EXP(-2*$C881/SQRT(PI()*D$9*D$10)))</f>
        <v>0.000521465194556188</v>
      </c>
      <c r="E881" s="3" t="n">
        <f aca="false">E$8*E$10*(1-EXP(-2*$C881/SQRT(PI()*E$9*E$10)))</f>
        <v>0.000521464699377152</v>
      </c>
      <c r="F881" s="3" t="n">
        <f aca="false">F$8*F$10*(1-EXP(-2*$C881/SQRT(PI()*F$9*F$10)))</f>
        <v>0.000521436440384828</v>
      </c>
      <c r="G881" s="3" t="n">
        <f aca="false">G$8*G$10*(1-EXP(-2*$C881/SQRT(PI()*G$9*G$10)))</f>
        <v>0.000260732349688576</v>
      </c>
      <c r="H881" s="3" t="n">
        <f aca="false">H$8*H$10*(1-EXP(-2*$C881/SQRT(PI()*H$9*H$10)))</f>
        <v>5.21465194556188E-005</v>
      </c>
    </row>
    <row r="882" customFormat="false" ht="15.75" hidden="false" customHeight="false" outlineLevel="0" collapsed="false">
      <c r="C882" s="0" t="n">
        <v>87</v>
      </c>
      <c r="D882" s="3" t="n">
        <f aca="false">D$8*D$10*(1-EXP(-2*$C882/SQRT(PI()*D$9*D$10)))</f>
        <v>0.000521465194556189</v>
      </c>
      <c r="E882" s="3" t="n">
        <f aca="false">E$8*E$10*(1-EXP(-2*$C882/SQRT(PI()*E$9*E$10)))</f>
        <v>0.000521464707216352</v>
      </c>
      <c r="F882" s="3" t="n">
        <f aca="false">F$8*F$10*(1-EXP(-2*$C882/SQRT(PI()*F$9*F$10)))</f>
        <v>0.000521436763017226</v>
      </c>
      <c r="G882" s="3" t="n">
        <f aca="false">G$8*G$10*(1-EXP(-2*$C882/SQRT(PI()*G$9*G$10)))</f>
        <v>0.000260732353608176</v>
      </c>
      <c r="H882" s="3" t="n">
        <f aca="false">H$8*H$10*(1-EXP(-2*$C882/SQRT(PI()*H$9*H$10)))</f>
        <v>5.21465194556189E-005</v>
      </c>
    </row>
    <row r="883" customFormat="false" ht="15.75" hidden="false" customHeight="false" outlineLevel="0" collapsed="false">
      <c r="C883" s="0" t="n">
        <v>87.1</v>
      </c>
      <c r="D883" s="3" t="n">
        <f aca="false">D$8*D$10*(1-EXP(-2*$C883/SQRT(PI()*D$9*D$10)))</f>
        <v>0.000521465194556189</v>
      </c>
      <c r="E883" s="3" t="n">
        <f aca="false">E$8*E$10*(1-EXP(-2*$C883/SQRT(PI()*E$9*E$10)))</f>
        <v>0.00052146471493145</v>
      </c>
      <c r="F883" s="3" t="n">
        <f aca="false">F$8*F$10*(1-EXP(-2*$C883/SQRT(PI()*F$9*F$10)))</f>
        <v>0.000521437082029569</v>
      </c>
      <c r="G883" s="3" t="n">
        <f aca="false">G$8*G$10*(1-EXP(-2*$C883/SQRT(PI()*G$9*G$10)))</f>
        <v>0.000260732357465725</v>
      </c>
      <c r="H883" s="3" t="n">
        <f aca="false">H$8*H$10*(1-EXP(-2*$C883/SQRT(PI()*H$9*H$10)))</f>
        <v>5.21465194556189E-005</v>
      </c>
    </row>
    <row r="884" customFormat="false" ht="15.75" hidden="false" customHeight="false" outlineLevel="0" collapsed="false">
      <c r="C884" s="0" t="n">
        <v>87.2</v>
      </c>
      <c r="D884" s="3" t="n">
        <f aca="false">D$8*D$10*(1-EXP(-2*$C884/SQRT(PI()*D$9*D$10)))</f>
        <v>0.00052146519455619</v>
      </c>
      <c r="E884" s="3" t="n">
        <f aca="false">E$8*E$10*(1-EXP(-2*$C884/SQRT(PI()*E$9*E$10)))</f>
        <v>0.000521464722524409</v>
      </c>
      <c r="F884" s="3" t="n">
        <f aca="false">F$8*F$10*(1-EXP(-2*$C884/SQRT(PI()*F$9*F$10)))</f>
        <v>0.000521437397462477</v>
      </c>
      <c r="G884" s="3" t="n">
        <f aca="false">G$8*G$10*(1-EXP(-2*$C884/SQRT(PI()*G$9*G$10)))</f>
        <v>0.000260732361262205</v>
      </c>
      <c r="H884" s="3" t="n">
        <f aca="false">H$8*H$10*(1-EXP(-2*$C884/SQRT(PI()*H$9*H$10)))</f>
        <v>5.2146519455619E-005</v>
      </c>
    </row>
    <row r="885" customFormat="false" ht="15.75" hidden="false" customHeight="false" outlineLevel="0" collapsed="false">
      <c r="C885" s="0" t="n">
        <v>87.3</v>
      </c>
      <c r="D885" s="3" t="n">
        <f aca="false">D$8*D$10*(1-EXP(-2*$C885/SQRT(PI()*D$9*D$10)))</f>
        <v>0.00052146519455619</v>
      </c>
      <c r="E885" s="3" t="n">
        <f aca="false">E$8*E$10*(1-EXP(-2*$C885/SQRT(PI()*E$9*E$10)))</f>
        <v>0.000521464729997164</v>
      </c>
      <c r="F885" s="3" t="n">
        <f aca="false">F$8*F$10*(1-EXP(-2*$C885/SQRT(PI()*F$9*F$10)))</f>
        <v>0.000521437709356111</v>
      </c>
      <c r="G885" s="3" t="n">
        <f aca="false">G$8*G$10*(1-EXP(-2*$C885/SQRT(PI()*G$9*G$10)))</f>
        <v>0.000260732364998582</v>
      </c>
      <c r="H885" s="3" t="n">
        <f aca="false">H$8*H$10*(1-EXP(-2*$C885/SQRT(PI()*H$9*H$10)))</f>
        <v>5.2146519455619E-005</v>
      </c>
    </row>
    <row r="886" customFormat="false" ht="15.75" hidden="false" customHeight="false" outlineLevel="0" collapsed="false">
      <c r="C886" s="0" t="n">
        <v>87.4</v>
      </c>
      <c r="D886" s="3" t="n">
        <f aca="false">D$8*D$10*(1-EXP(-2*$C886/SQRT(PI()*D$9*D$10)))</f>
        <v>0.000521465194556191</v>
      </c>
      <c r="E886" s="3" t="n">
        <f aca="false">E$8*E$10*(1-EXP(-2*$C886/SQRT(PI()*E$9*E$10)))</f>
        <v>0.000521464737351618</v>
      </c>
      <c r="F886" s="3" t="n">
        <f aca="false">F$8*F$10*(1-EXP(-2*$C886/SQRT(PI()*F$9*F$10)))</f>
        <v>0.000521438017750184</v>
      </c>
      <c r="G886" s="3" t="n">
        <f aca="false">G$8*G$10*(1-EXP(-2*$C886/SQRT(PI()*G$9*G$10)))</f>
        <v>0.000260732368675809</v>
      </c>
      <c r="H886" s="3" t="n">
        <f aca="false">H$8*H$10*(1-EXP(-2*$C886/SQRT(PI()*H$9*H$10)))</f>
        <v>5.21465194556191E-005</v>
      </c>
    </row>
    <row r="887" customFormat="false" ht="15.75" hidden="false" customHeight="false" outlineLevel="0" collapsed="false">
      <c r="C887" s="0" t="n">
        <v>87.5</v>
      </c>
      <c r="D887" s="3" t="n">
        <f aca="false">D$8*D$10*(1-EXP(-2*$C887/SQRT(PI()*D$9*D$10)))</f>
        <v>0.000521465194556191</v>
      </c>
      <c r="E887" s="3" t="n">
        <f aca="false">E$8*E$10*(1-EXP(-2*$C887/SQRT(PI()*E$9*E$10)))</f>
        <v>0.000521464744589643</v>
      </c>
      <c r="F887" s="3" t="n">
        <f aca="false">F$8*F$10*(1-EXP(-2*$C887/SQRT(PI()*F$9*F$10)))</f>
        <v>0.000521438322683961</v>
      </c>
      <c r="G887" s="3" t="n">
        <f aca="false">G$8*G$10*(1-EXP(-2*$C887/SQRT(PI()*G$9*G$10)))</f>
        <v>0.000260732372294821</v>
      </c>
      <c r="H887" s="3" t="n">
        <f aca="false">H$8*H$10*(1-EXP(-2*$C887/SQRT(PI()*H$9*H$10)))</f>
        <v>5.21465194556191E-005</v>
      </c>
    </row>
    <row r="888" customFormat="false" ht="15.75" hidden="false" customHeight="false" outlineLevel="0" collapsed="false">
      <c r="C888" s="0" t="n">
        <v>87.6</v>
      </c>
      <c r="D888" s="3" t="n">
        <f aca="false">D$8*D$10*(1-EXP(-2*$C888/SQRT(PI()*D$9*D$10)))</f>
        <v>0.000521465194556192</v>
      </c>
      <c r="E888" s="3" t="n">
        <f aca="false">E$8*E$10*(1-EXP(-2*$C888/SQRT(PI()*E$9*E$10)))</f>
        <v>0.000521464751713082</v>
      </c>
      <c r="F888" s="3" t="n">
        <f aca="false">F$8*F$10*(1-EXP(-2*$C888/SQRT(PI()*F$9*F$10)))</f>
        <v>0.000521438624196269</v>
      </c>
      <c r="G888" s="3" t="n">
        <f aca="false">G$8*G$10*(1-EXP(-2*$C888/SQRT(PI()*G$9*G$10)))</f>
        <v>0.000260732375856541</v>
      </c>
      <c r="H888" s="3" t="n">
        <f aca="false">H$8*H$10*(1-EXP(-2*$C888/SQRT(PI()*H$9*H$10)))</f>
        <v>5.21465194556192E-005</v>
      </c>
    </row>
    <row r="889" customFormat="false" ht="15.75" hidden="false" customHeight="false" outlineLevel="0" collapsed="false">
      <c r="C889" s="0" t="n">
        <v>87.7</v>
      </c>
      <c r="D889" s="3" t="n">
        <f aca="false">D$8*D$10*(1-EXP(-2*$C889/SQRT(PI()*D$9*D$10)))</f>
        <v>0.000521465194556192</v>
      </c>
      <c r="E889" s="3" t="n">
        <f aca="false">E$8*E$10*(1-EXP(-2*$C889/SQRT(PI()*E$9*E$10)))</f>
        <v>0.00052146475872375</v>
      </c>
      <c r="F889" s="3" t="n">
        <f aca="false">F$8*F$10*(1-EXP(-2*$C889/SQRT(PI()*F$9*F$10)))</f>
        <v>0.000521438922325498</v>
      </c>
      <c r="G889" s="3" t="n">
        <f aca="false">G$8*G$10*(1-EXP(-2*$C889/SQRT(PI()*G$9*G$10)))</f>
        <v>0.000260732379361875</v>
      </c>
      <c r="H889" s="3" t="n">
        <f aca="false">H$8*H$10*(1-EXP(-2*$C889/SQRT(PI()*H$9*H$10)))</f>
        <v>5.21465194556192E-005</v>
      </c>
    </row>
    <row r="890" customFormat="false" ht="15.75" hidden="false" customHeight="false" outlineLevel="0" collapsed="false">
      <c r="C890" s="0" t="n">
        <v>87.8</v>
      </c>
      <c r="D890" s="3" t="n">
        <f aca="false">D$8*D$10*(1-EXP(-2*$C890/SQRT(PI()*D$9*D$10)))</f>
        <v>0.000521465194556193</v>
      </c>
      <c r="E890" s="3" t="n">
        <f aca="false">E$8*E$10*(1-EXP(-2*$C890/SQRT(PI()*E$9*E$10)))</f>
        <v>0.000521464765623432</v>
      </c>
      <c r="F890" s="3" t="n">
        <f aca="false">F$8*F$10*(1-EXP(-2*$C890/SQRT(PI()*F$9*F$10)))</f>
        <v>0.000521439217109607</v>
      </c>
      <c r="G890" s="3" t="n">
        <f aca="false">G$8*G$10*(1-EXP(-2*$C890/SQRT(PI()*G$9*G$10)))</f>
        <v>0.000260732382811716</v>
      </c>
      <c r="H890" s="3" t="n">
        <f aca="false">H$8*H$10*(1-EXP(-2*$C890/SQRT(PI()*H$9*H$10)))</f>
        <v>5.21465194556193E-005</v>
      </c>
    </row>
    <row r="891" customFormat="false" ht="15.75" hidden="false" customHeight="false" outlineLevel="0" collapsed="false">
      <c r="C891" s="0" t="n">
        <v>87.9</v>
      </c>
      <c r="D891" s="3" t="n">
        <f aca="false">D$8*D$10*(1-EXP(-2*$C891/SQRT(PI()*D$9*D$10)))</f>
        <v>0.000521465194556193</v>
      </c>
      <c r="E891" s="3" t="n">
        <f aca="false">E$8*E$10*(1-EXP(-2*$C891/SQRT(PI()*E$9*E$10)))</f>
        <v>0.000521464772413885</v>
      </c>
      <c r="F891" s="3" t="n">
        <f aca="false">F$8*F$10*(1-EXP(-2*$C891/SQRT(PI()*F$9*F$10)))</f>
        <v>0.00052143950858613</v>
      </c>
      <c r="G891" s="3" t="n">
        <f aca="false">G$8*G$10*(1-EXP(-2*$C891/SQRT(PI()*G$9*G$10)))</f>
        <v>0.000260732386206942</v>
      </c>
      <c r="H891" s="3" t="n">
        <f aca="false">H$8*H$10*(1-EXP(-2*$C891/SQRT(PI()*H$9*H$10)))</f>
        <v>5.21465194556193E-005</v>
      </c>
    </row>
    <row r="892" customFormat="false" ht="15.75" hidden="false" customHeight="false" outlineLevel="0" collapsed="false">
      <c r="C892" s="0" t="n">
        <v>88</v>
      </c>
      <c r="D892" s="3" t="n">
        <f aca="false">D$8*D$10*(1-EXP(-2*$C892/SQRT(PI()*D$9*D$10)))</f>
        <v>0.000521465194556194</v>
      </c>
      <c r="E892" s="3" t="n">
        <f aca="false">E$8*E$10*(1-EXP(-2*$C892/SQRT(PI()*E$9*E$10)))</f>
        <v>0.000521464779096838</v>
      </c>
      <c r="F892" s="3" t="n">
        <f aca="false">F$8*F$10*(1-EXP(-2*$C892/SQRT(PI()*F$9*F$10)))</f>
        <v>0.000521439796792178</v>
      </c>
      <c r="G892" s="3" t="n">
        <f aca="false">G$8*G$10*(1-EXP(-2*$C892/SQRT(PI()*G$9*G$10)))</f>
        <v>0.000260732389548419</v>
      </c>
      <c r="H892" s="3" t="n">
        <f aca="false">H$8*H$10*(1-EXP(-2*$C892/SQRT(PI()*H$9*H$10)))</f>
        <v>5.21465194556194E-005</v>
      </c>
    </row>
    <row r="893" customFormat="false" ht="15.75" hidden="false" customHeight="false" outlineLevel="0" collapsed="false">
      <c r="C893" s="0" t="n">
        <v>88.1</v>
      </c>
      <c r="D893" s="3" t="n">
        <f aca="false">D$8*D$10*(1-EXP(-2*$C893/SQRT(PI()*D$9*D$10)))</f>
        <v>0.000521465194556194</v>
      </c>
      <c r="E893" s="3" t="n">
        <f aca="false">E$8*E$10*(1-EXP(-2*$C893/SQRT(PI()*E$9*E$10)))</f>
        <v>0.000521464785673992</v>
      </c>
      <c r="F893" s="3" t="n">
        <f aca="false">F$8*F$10*(1-EXP(-2*$C893/SQRT(PI()*F$9*F$10)))</f>
        <v>0.000521440081764449</v>
      </c>
      <c r="G893" s="3" t="n">
        <f aca="false">G$8*G$10*(1-EXP(-2*$C893/SQRT(PI()*G$9*G$10)))</f>
        <v>0.000260732392836996</v>
      </c>
      <c r="H893" s="3" t="n">
        <f aca="false">H$8*H$10*(1-EXP(-2*$C893/SQRT(PI()*H$9*H$10)))</f>
        <v>5.21465194556194E-005</v>
      </c>
    </row>
    <row r="894" customFormat="false" ht="15.75" hidden="false" customHeight="false" outlineLevel="0" collapsed="false">
      <c r="C894" s="0" t="n">
        <v>88.2</v>
      </c>
      <c r="D894" s="3" t="n">
        <f aca="false">D$8*D$10*(1-EXP(-2*$C894/SQRT(PI()*D$9*D$10)))</f>
        <v>0.000521465194556195</v>
      </c>
      <c r="E894" s="3" t="n">
        <f aca="false">E$8*E$10*(1-EXP(-2*$C894/SQRT(PI()*E$9*E$10)))</f>
        <v>0.000521464792147024</v>
      </c>
      <c r="F894" s="3" t="n">
        <f aca="false">F$8*F$10*(1-EXP(-2*$C894/SQRT(PI()*F$9*F$10)))</f>
        <v>0.000521440363539226</v>
      </c>
      <c r="G894" s="3" t="n">
        <f aca="false">G$8*G$10*(1-EXP(-2*$C894/SQRT(PI()*G$9*G$10)))</f>
        <v>0.000260732396073512</v>
      </c>
      <c r="H894" s="3" t="n">
        <f aca="false">H$8*H$10*(1-EXP(-2*$C894/SQRT(PI()*H$9*H$10)))</f>
        <v>5.21465194556195E-005</v>
      </c>
    </row>
    <row r="895" customFormat="false" ht="15.75" hidden="false" customHeight="false" outlineLevel="0" collapsed="false">
      <c r="C895" s="0" t="n">
        <v>88.3</v>
      </c>
      <c r="D895" s="3" t="n">
        <f aca="false">D$8*D$10*(1-EXP(-2*$C895/SQRT(PI()*D$9*D$10)))</f>
        <v>0.000521465194556195</v>
      </c>
      <c r="E895" s="3" t="n">
        <f aca="false">E$8*E$10*(1-EXP(-2*$C895/SQRT(PI()*E$9*E$10)))</f>
        <v>0.00052146479851758</v>
      </c>
      <c r="F895" s="3" t="n">
        <f aca="false">F$8*F$10*(1-EXP(-2*$C895/SQRT(PI()*F$9*F$10)))</f>
        <v>0.000521440642152386</v>
      </c>
      <c r="G895" s="3" t="n">
        <f aca="false">G$8*G$10*(1-EXP(-2*$C895/SQRT(PI()*G$9*G$10)))</f>
        <v>0.00026073239925879</v>
      </c>
      <c r="H895" s="3" t="n">
        <f aca="false">H$8*H$10*(1-EXP(-2*$C895/SQRT(PI()*H$9*H$10)))</f>
        <v>5.21465194556195E-005</v>
      </c>
    </row>
    <row r="896" customFormat="false" ht="15.75" hidden="false" customHeight="false" outlineLevel="0" collapsed="false">
      <c r="C896" s="0" t="n">
        <v>88.4</v>
      </c>
      <c r="D896" s="3" t="n">
        <f aca="false">D$8*D$10*(1-EXP(-2*$C896/SQRT(PI()*D$9*D$10)))</f>
        <v>0.000521465194556195</v>
      </c>
      <c r="E896" s="3" t="n">
        <f aca="false">E$8*E$10*(1-EXP(-2*$C896/SQRT(PI()*E$9*E$10)))</f>
        <v>0.000521464804787284</v>
      </c>
      <c r="F896" s="3" t="n">
        <f aca="false">F$8*F$10*(1-EXP(-2*$C896/SQRT(PI()*F$9*F$10)))</f>
        <v>0.000521440917639403</v>
      </c>
      <c r="G896" s="3" t="n">
        <f aca="false">G$8*G$10*(1-EXP(-2*$C896/SQRT(PI()*G$9*G$10)))</f>
        <v>0.000260732402393642</v>
      </c>
      <c r="H896" s="3" t="n">
        <f aca="false">H$8*H$10*(1-EXP(-2*$C896/SQRT(PI()*H$9*H$10)))</f>
        <v>5.21465194556195E-005</v>
      </c>
    </row>
    <row r="897" customFormat="false" ht="15.75" hidden="false" customHeight="false" outlineLevel="0" collapsed="false">
      <c r="C897" s="0" t="n">
        <v>88.5</v>
      </c>
      <c r="D897" s="3" t="n">
        <f aca="false">D$8*D$10*(1-EXP(-2*$C897/SQRT(PI()*D$9*D$10)))</f>
        <v>0.000521465194556196</v>
      </c>
      <c r="E897" s="3" t="n">
        <f aca="false">E$8*E$10*(1-EXP(-2*$C897/SQRT(PI()*E$9*E$10)))</f>
        <v>0.000521464810957732</v>
      </c>
      <c r="F897" s="3" t="n">
        <f aca="false">F$8*F$10*(1-EXP(-2*$C897/SQRT(PI()*F$9*F$10)))</f>
        <v>0.000521441190035355</v>
      </c>
      <c r="G897" s="3" t="n">
        <f aca="false">G$8*G$10*(1-EXP(-2*$C897/SQRT(PI()*G$9*G$10)))</f>
        <v>0.000260732405478866</v>
      </c>
      <c r="H897" s="3" t="n">
        <f aca="false">H$8*H$10*(1-EXP(-2*$C897/SQRT(PI()*H$9*H$10)))</f>
        <v>5.21465194556196E-005</v>
      </c>
    </row>
    <row r="898" customFormat="false" ht="15.75" hidden="false" customHeight="false" outlineLevel="0" collapsed="false">
      <c r="C898" s="0" t="n">
        <v>88.6</v>
      </c>
      <c r="D898" s="3" t="n">
        <f aca="false">D$8*D$10*(1-EXP(-2*$C898/SQRT(PI()*D$9*D$10)))</f>
        <v>0.000521465194556196</v>
      </c>
      <c r="E898" s="3" t="n">
        <f aca="false">E$8*E$10*(1-EXP(-2*$C898/SQRT(PI()*E$9*E$10)))</f>
        <v>0.000521464817030496</v>
      </c>
      <c r="F898" s="3" t="n">
        <f aca="false">F$8*F$10*(1-EXP(-2*$C898/SQRT(PI()*F$9*F$10)))</f>
        <v>0.000521441459374924</v>
      </c>
      <c r="G898" s="3" t="n">
        <f aca="false">G$8*G$10*(1-EXP(-2*$C898/SQRT(PI()*G$9*G$10)))</f>
        <v>0.000260732408515248</v>
      </c>
      <c r="H898" s="3" t="n">
        <f aca="false">H$8*H$10*(1-EXP(-2*$C898/SQRT(PI()*H$9*H$10)))</f>
        <v>5.21465194556196E-005</v>
      </c>
    </row>
    <row r="899" customFormat="false" ht="15.75" hidden="false" customHeight="false" outlineLevel="0" collapsed="false">
      <c r="C899" s="0" t="n">
        <v>88.7</v>
      </c>
      <c r="D899" s="3" t="n">
        <f aca="false">D$8*D$10*(1-EXP(-2*$C899/SQRT(PI()*D$9*D$10)))</f>
        <v>0.000521465194556196</v>
      </c>
      <c r="E899" s="3" t="n">
        <f aca="false">E$8*E$10*(1-EXP(-2*$C899/SQRT(PI()*E$9*E$10)))</f>
        <v>0.000521464823007121</v>
      </c>
      <c r="F899" s="3" t="n">
        <f aca="false">F$8*F$10*(1-EXP(-2*$C899/SQRT(PI()*F$9*F$10)))</f>
        <v>0.000521441725692404</v>
      </c>
      <c r="G899" s="3" t="n">
        <f aca="false">G$8*G$10*(1-EXP(-2*$C899/SQRT(PI()*G$9*G$10)))</f>
        <v>0.000260732411503561</v>
      </c>
      <c r="H899" s="3" t="n">
        <f aca="false">H$8*H$10*(1-EXP(-2*$C899/SQRT(PI()*H$9*H$10)))</f>
        <v>5.21465194556196E-005</v>
      </c>
    </row>
    <row r="900" customFormat="false" ht="15.75" hidden="false" customHeight="false" outlineLevel="0" collapsed="false">
      <c r="C900" s="0" t="n">
        <v>88.8</v>
      </c>
      <c r="D900" s="3" t="n">
        <f aca="false">D$8*D$10*(1-EXP(-2*$C900/SQRT(PI()*D$9*D$10)))</f>
        <v>0.000521465194556197</v>
      </c>
      <c r="E900" s="3" t="n">
        <f aca="false">E$8*E$10*(1-EXP(-2*$C900/SQRT(PI()*E$9*E$10)))</f>
        <v>0.00052146482888913</v>
      </c>
      <c r="F900" s="3" t="n">
        <f aca="false">F$8*F$10*(1-EXP(-2*$C900/SQRT(PI()*F$9*F$10)))</f>
        <v>0.000521441989021703</v>
      </c>
      <c r="G900" s="3" t="n">
        <f aca="false">G$8*G$10*(1-EXP(-2*$C900/SQRT(PI()*G$9*G$10)))</f>
        <v>0.000260732414444565</v>
      </c>
      <c r="H900" s="3" t="n">
        <f aca="false">H$8*H$10*(1-EXP(-2*$C900/SQRT(PI()*H$9*H$10)))</f>
        <v>5.21465194556197E-005</v>
      </c>
    </row>
    <row r="901" customFormat="false" ht="15.75" hidden="false" customHeight="false" outlineLevel="0" collapsed="false">
      <c r="C901" s="0" t="n">
        <v>88.9</v>
      </c>
      <c r="D901" s="3" t="n">
        <f aca="false">D$8*D$10*(1-EXP(-2*$C901/SQRT(PI()*D$9*D$10)))</f>
        <v>0.000521465194556197</v>
      </c>
      <c r="E901" s="3" t="n">
        <f aca="false">E$8*E$10*(1-EXP(-2*$C901/SQRT(PI()*E$9*E$10)))</f>
        <v>0.000521464834678021</v>
      </c>
      <c r="F901" s="3" t="n">
        <f aca="false">F$8*F$10*(1-EXP(-2*$C901/SQRT(PI()*F$9*F$10)))</f>
        <v>0.000521442249396351</v>
      </c>
      <c r="G901" s="3" t="n">
        <f aca="false">G$8*G$10*(1-EXP(-2*$C901/SQRT(PI()*G$9*G$10)))</f>
        <v>0.000260732417339011</v>
      </c>
      <c r="H901" s="3" t="n">
        <f aca="false">H$8*H$10*(1-EXP(-2*$C901/SQRT(PI()*H$9*H$10)))</f>
        <v>5.21465194556197E-005</v>
      </c>
    </row>
    <row r="902" customFormat="false" ht="15.75" hidden="false" customHeight="false" outlineLevel="0" collapsed="false">
      <c r="C902" s="0" t="n">
        <v>89</v>
      </c>
      <c r="D902" s="3" t="n">
        <f aca="false">D$8*D$10*(1-EXP(-2*$C902/SQRT(PI()*D$9*D$10)))</f>
        <v>0.000521465194556197</v>
      </c>
      <c r="E902" s="3" t="n">
        <f aca="false">E$8*E$10*(1-EXP(-2*$C902/SQRT(PI()*E$9*E$10)))</f>
        <v>0.000521464840375268</v>
      </c>
      <c r="F902" s="3" t="n">
        <f aca="false">F$8*F$10*(1-EXP(-2*$C902/SQRT(PI()*F$9*F$10)))</f>
        <v>0.000521442506849499</v>
      </c>
      <c r="G902" s="3" t="n">
        <f aca="false">G$8*G$10*(1-EXP(-2*$C902/SQRT(PI()*G$9*G$10)))</f>
        <v>0.000260732420187634</v>
      </c>
      <c r="H902" s="3" t="n">
        <f aca="false">H$8*H$10*(1-EXP(-2*$C902/SQRT(PI()*H$9*H$10)))</f>
        <v>5.21465194556197E-005</v>
      </c>
    </row>
    <row r="903" customFormat="false" ht="15.75" hidden="false" customHeight="false" outlineLevel="0" collapsed="false">
      <c r="C903" s="0" t="n">
        <v>89.1</v>
      </c>
      <c r="D903" s="3" t="n">
        <f aca="false">D$8*D$10*(1-EXP(-2*$C903/SQRT(PI()*D$9*D$10)))</f>
        <v>0.000521465194556198</v>
      </c>
      <c r="E903" s="3" t="n">
        <f aca="false">E$8*E$10*(1-EXP(-2*$C903/SQRT(PI()*E$9*E$10)))</f>
        <v>0.000521464845982321</v>
      </c>
      <c r="F903" s="3" t="n">
        <f aca="false">F$8*F$10*(1-EXP(-2*$C903/SQRT(PI()*F$9*F$10)))</f>
        <v>0.000521442761413928</v>
      </c>
      <c r="G903" s="3" t="n">
        <f aca="false">G$8*G$10*(1-EXP(-2*$C903/SQRT(PI()*G$9*G$10)))</f>
        <v>0.00026073242299116</v>
      </c>
      <c r="H903" s="3" t="n">
        <f aca="false">H$8*H$10*(1-EXP(-2*$C903/SQRT(PI()*H$9*H$10)))</f>
        <v>5.21465194556198E-005</v>
      </c>
    </row>
    <row r="904" customFormat="false" ht="15.75" hidden="false" customHeight="false" outlineLevel="0" collapsed="false">
      <c r="C904" s="0" t="n">
        <v>89.2</v>
      </c>
      <c r="D904" s="3" t="n">
        <f aca="false">D$8*D$10*(1-EXP(-2*$C904/SQRT(PI()*D$9*D$10)))</f>
        <v>0.000521465194556198</v>
      </c>
      <c r="E904" s="3" t="n">
        <f aca="false">E$8*E$10*(1-EXP(-2*$C904/SQRT(PI()*E$9*E$10)))</f>
        <v>0.000521464851500609</v>
      </c>
      <c r="F904" s="3" t="n">
        <f aca="false">F$8*F$10*(1-EXP(-2*$C904/SQRT(PI()*F$9*F$10)))</f>
        <v>0.00052144301312205</v>
      </c>
      <c r="G904" s="3" t="n">
        <f aca="false">G$8*G$10*(1-EXP(-2*$C904/SQRT(PI()*G$9*G$10)))</f>
        <v>0.000260732425750304</v>
      </c>
      <c r="H904" s="3" t="n">
        <f aca="false">H$8*H$10*(1-EXP(-2*$C904/SQRT(PI()*H$9*H$10)))</f>
        <v>5.21465194556198E-005</v>
      </c>
    </row>
    <row r="905" customFormat="false" ht="15.75" hidden="false" customHeight="false" outlineLevel="0" collapsed="false">
      <c r="C905" s="0" t="n">
        <v>89.3</v>
      </c>
      <c r="D905" s="3" t="n">
        <f aca="false">D$8*D$10*(1-EXP(-2*$C905/SQRT(PI()*D$9*D$10)))</f>
        <v>0.000521465194556198</v>
      </c>
      <c r="E905" s="3" t="n">
        <f aca="false">E$8*E$10*(1-EXP(-2*$C905/SQRT(PI()*E$9*E$10)))</f>
        <v>0.000521464856931536</v>
      </c>
      <c r="F905" s="3" t="n">
        <f aca="false">F$8*F$10*(1-EXP(-2*$C905/SQRT(PI()*F$9*F$10)))</f>
        <v>0.000521443262005915</v>
      </c>
      <c r="G905" s="3" t="n">
        <f aca="false">G$8*G$10*(1-EXP(-2*$C905/SQRT(PI()*G$9*G$10)))</f>
        <v>0.000260732428465768</v>
      </c>
      <c r="H905" s="3" t="n">
        <f aca="false">H$8*H$10*(1-EXP(-2*$C905/SQRT(PI()*H$9*H$10)))</f>
        <v>5.21465194556198E-005</v>
      </c>
    </row>
    <row r="906" customFormat="false" ht="15.75" hidden="false" customHeight="false" outlineLevel="0" collapsed="false">
      <c r="C906" s="0" t="n">
        <v>89.4</v>
      </c>
      <c r="D906" s="3" t="n">
        <f aca="false">D$8*D$10*(1-EXP(-2*$C906/SQRT(PI()*D$9*D$10)))</f>
        <v>0.000521465194556198</v>
      </c>
      <c r="E906" s="3" t="n">
        <f aca="false">E$8*E$10*(1-EXP(-2*$C906/SQRT(PI()*E$9*E$10)))</f>
        <v>0.000521464862276486</v>
      </c>
      <c r="F906" s="3" t="n">
        <f aca="false">F$8*F$10*(1-EXP(-2*$C906/SQRT(PI()*F$9*F$10)))</f>
        <v>0.00052144350809721</v>
      </c>
      <c r="G906" s="3" t="n">
        <f aca="false">G$8*G$10*(1-EXP(-2*$C906/SQRT(PI()*G$9*G$10)))</f>
        <v>0.000260732431138243</v>
      </c>
      <c r="H906" s="3" t="n">
        <f aca="false">H$8*H$10*(1-EXP(-2*$C906/SQRT(PI()*H$9*H$10)))</f>
        <v>5.21465194556198E-005</v>
      </c>
    </row>
    <row r="907" customFormat="false" ht="15.75" hidden="false" customHeight="false" outlineLevel="0" collapsed="false">
      <c r="C907" s="0" t="n">
        <v>89.5</v>
      </c>
      <c r="D907" s="3" t="n">
        <f aca="false">D$8*D$10*(1-EXP(-2*$C907/SQRT(PI()*D$9*D$10)))</f>
        <v>0.000521465194556199</v>
      </c>
      <c r="E907" s="3" t="n">
        <f aca="false">E$8*E$10*(1-EXP(-2*$C907/SQRT(PI()*E$9*E$10)))</f>
        <v>0.000521464867536821</v>
      </c>
      <c r="F907" s="3" t="n">
        <f aca="false">F$8*F$10*(1-EXP(-2*$C907/SQRT(PI()*F$9*F$10)))</f>
        <v>0.000521443751427271</v>
      </c>
      <c r="G907" s="3" t="n">
        <f aca="false">G$8*G$10*(1-EXP(-2*$C907/SQRT(PI()*G$9*G$10)))</f>
        <v>0.00026073243376841</v>
      </c>
      <c r="H907" s="3" t="n">
        <f aca="false">H$8*H$10*(1-EXP(-2*$C907/SQRT(PI()*H$9*H$10)))</f>
        <v>5.21465194556199E-005</v>
      </c>
    </row>
    <row r="908" customFormat="false" ht="15.75" hidden="false" customHeight="false" outlineLevel="0" collapsed="false">
      <c r="C908" s="0" t="n">
        <v>89.6</v>
      </c>
      <c r="D908" s="3" t="n">
        <f aca="false">D$8*D$10*(1-EXP(-2*$C908/SQRT(PI()*D$9*D$10)))</f>
        <v>0.000521465194556199</v>
      </c>
      <c r="E908" s="3" t="n">
        <f aca="false">E$8*E$10*(1-EXP(-2*$C908/SQRT(PI()*E$9*E$10)))</f>
        <v>0.000521464872713878</v>
      </c>
      <c r="F908" s="3" t="n">
        <f aca="false">F$8*F$10*(1-EXP(-2*$C908/SQRT(PI()*F$9*F$10)))</f>
        <v>0.000521443992027079</v>
      </c>
      <c r="G908" s="3" t="n">
        <f aca="false">G$8*G$10*(1-EXP(-2*$C908/SQRT(PI()*G$9*G$10)))</f>
        <v>0.000260732436356939</v>
      </c>
      <c r="H908" s="3" t="n">
        <f aca="false">H$8*H$10*(1-EXP(-2*$C908/SQRT(PI()*H$9*H$10)))</f>
        <v>5.21465194556199E-005</v>
      </c>
    </row>
    <row r="909" customFormat="false" ht="15.75" hidden="false" customHeight="false" outlineLevel="0" collapsed="false">
      <c r="C909" s="0" t="n">
        <v>89.7</v>
      </c>
      <c r="D909" s="3" t="n">
        <f aca="false">D$8*D$10*(1-EXP(-2*$C909/SQRT(PI()*D$9*D$10)))</f>
        <v>0.000521465194556199</v>
      </c>
      <c r="E909" s="3" t="n">
        <f aca="false">E$8*E$10*(1-EXP(-2*$C909/SQRT(PI()*E$9*E$10)))</f>
        <v>0.000521464877808978</v>
      </c>
      <c r="F909" s="3" t="n">
        <f aca="false">F$8*F$10*(1-EXP(-2*$C909/SQRT(PI()*F$9*F$10)))</f>
        <v>0.000521444229927268</v>
      </c>
      <c r="G909" s="3" t="n">
        <f aca="false">G$8*G$10*(1-EXP(-2*$C909/SQRT(PI()*G$9*G$10)))</f>
        <v>0.000260732438904489</v>
      </c>
      <c r="H909" s="3" t="n">
        <f aca="false">H$8*H$10*(1-EXP(-2*$C909/SQRT(PI()*H$9*H$10)))</f>
        <v>5.21465194556199E-005</v>
      </c>
    </row>
    <row r="910" customFormat="false" ht="15.75" hidden="false" customHeight="false" outlineLevel="0" collapsed="false">
      <c r="C910" s="0" t="n">
        <v>89.8</v>
      </c>
      <c r="D910" s="3" t="n">
        <f aca="false">D$8*D$10*(1-EXP(-2*$C910/SQRT(PI()*D$9*D$10)))</f>
        <v>0.000521465194556199</v>
      </c>
      <c r="E910" s="3" t="n">
        <f aca="false">E$8*E$10*(1-EXP(-2*$C910/SQRT(PI()*E$9*E$10)))</f>
        <v>0.000521464882823416</v>
      </c>
      <c r="F910" s="3" t="n">
        <f aca="false">F$8*F$10*(1-EXP(-2*$C910/SQRT(PI()*F$9*F$10)))</f>
        <v>0.00052144446515813</v>
      </c>
      <c r="G910" s="3" t="n">
        <f aca="false">G$8*G$10*(1-EXP(-2*$C910/SQRT(PI()*G$9*G$10)))</f>
        <v>0.000260732441411708</v>
      </c>
      <c r="H910" s="3" t="n">
        <f aca="false">H$8*H$10*(1-EXP(-2*$C910/SQRT(PI()*H$9*H$10)))</f>
        <v>5.21465194556199E-005</v>
      </c>
    </row>
    <row r="911" customFormat="false" ht="15.75" hidden="false" customHeight="false" outlineLevel="0" collapsed="false">
      <c r="C911" s="0" t="n">
        <v>89.9</v>
      </c>
      <c r="D911" s="3" t="n">
        <f aca="false">D$8*D$10*(1-EXP(-2*$C911/SQRT(PI()*D$9*D$10)))</f>
        <v>0.0005214651945562</v>
      </c>
      <c r="E911" s="3" t="n">
        <f aca="false">E$8*E$10*(1-EXP(-2*$C911/SQRT(PI()*E$9*E$10)))</f>
        <v>0.000521464887758471</v>
      </c>
      <c r="F911" s="3" t="n">
        <f aca="false">F$8*F$10*(1-EXP(-2*$C911/SQRT(PI()*F$9*F$10)))</f>
        <v>0.000521444697749614</v>
      </c>
      <c r="G911" s="3" t="n">
        <f aca="false">G$8*G$10*(1-EXP(-2*$C911/SQRT(PI()*G$9*G$10)))</f>
        <v>0.000260732443879235</v>
      </c>
      <c r="H911" s="3" t="n">
        <f aca="false">H$8*H$10*(1-EXP(-2*$C911/SQRT(PI()*H$9*H$10)))</f>
        <v>5.214651945562E-005</v>
      </c>
    </row>
    <row r="912" customFormat="false" ht="15.75" hidden="false" customHeight="false" outlineLevel="0" collapsed="false">
      <c r="C912" s="0" t="n">
        <v>90</v>
      </c>
      <c r="D912" s="3" t="n">
        <f aca="false">D$8*D$10*(1-EXP(-2*$C912/SQRT(PI()*D$9*D$10)))</f>
        <v>0.0005214651945562</v>
      </c>
      <c r="E912" s="3" t="n">
        <f aca="false">E$8*E$10*(1-EXP(-2*$C912/SQRT(PI()*E$9*E$10)))</f>
        <v>0.000521464892615399</v>
      </c>
      <c r="F912" s="3" t="n">
        <f aca="false">F$8*F$10*(1-EXP(-2*$C912/SQRT(PI()*F$9*F$10)))</f>
        <v>0.000521444927731337</v>
      </c>
      <c r="G912" s="3" t="n">
        <f aca="false">G$8*G$10*(1-EXP(-2*$C912/SQRT(PI()*G$9*G$10)))</f>
        <v>0.000260732446307699</v>
      </c>
      <c r="H912" s="3" t="n">
        <f aca="false">H$8*H$10*(1-EXP(-2*$C912/SQRT(PI()*H$9*H$10)))</f>
        <v>5.214651945562E-005</v>
      </c>
    </row>
    <row r="913" customFormat="false" ht="15.75" hidden="false" customHeight="false" outlineLevel="0" collapsed="false">
      <c r="C913" s="0" t="n">
        <v>90.1</v>
      </c>
      <c r="D913" s="3" t="n">
        <f aca="false">D$8*D$10*(1-EXP(-2*$C913/SQRT(PI()*D$9*D$10)))</f>
        <v>0.0005214651945562</v>
      </c>
      <c r="E913" s="3" t="n">
        <f aca="false">E$8*E$10*(1-EXP(-2*$C913/SQRT(PI()*E$9*E$10)))</f>
        <v>0.000521464897395436</v>
      </c>
      <c r="F913" s="3" t="n">
        <f aca="false">F$8*F$10*(1-EXP(-2*$C913/SQRT(PI()*F$9*F$10)))</f>
        <v>0.000521445155132579</v>
      </c>
      <c r="G913" s="3" t="n">
        <f aca="false">G$8*G$10*(1-EXP(-2*$C913/SQRT(PI()*G$9*G$10)))</f>
        <v>0.000260732448697718</v>
      </c>
      <c r="H913" s="3" t="n">
        <f aca="false">H$8*H$10*(1-EXP(-2*$C913/SQRT(PI()*H$9*H$10)))</f>
        <v>5.214651945562E-005</v>
      </c>
    </row>
    <row r="914" customFormat="false" ht="15.75" hidden="false" customHeight="false" outlineLevel="0" collapsed="false">
      <c r="C914" s="0" t="n">
        <v>90.2</v>
      </c>
      <c r="D914" s="3" t="n">
        <f aca="false">D$8*D$10*(1-EXP(-2*$C914/SQRT(PI()*D$9*D$10)))</f>
        <v>0.0005214651945562</v>
      </c>
      <c r="E914" s="3" t="n">
        <f aca="false">E$8*E$10*(1-EXP(-2*$C914/SQRT(PI()*E$9*E$10)))</f>
        <v>0.000521464902099801</v>
      </c>
      <c r="F914" s="3" t="n">
        <f aca="false">F$8*F$10*(1-EXP(-2*$C914/SQRT(PI()*F$9*F$10)))</f>
        <v>0.000521445379982296</v>
      </c>
      <c r="G914" s="3" t="n">
        <f aca="false">G$8*G$10*(1-EXP(-2*$C914/SQRT(PI()*G$9*G$10)))</f>
        <v>0.0002607324510499</v>
      </c>
      <c r="H914" s="3" t="n">
        <f aca="false">H$8*H$10*(1-EXP(-2*$C914/SQRT(PI()*H$9*H$10)))</f>
        <v>5.214651945562E-005</v>
      </c>
    </row>
    <row r="915" customFormat="false" ht="15.75" hidden="false" customHeight="false" outlineLevel="0" collapsed="false">
      <c r="C915" s="0" t="n">
        <v>90.3</v>
      </c>
      <c r="D915" s="3" t="n">
        <f aca="false">D$8*D$10*(1-EXP(-2*$C915/SQRT(PI()*D$9*D$10)))</f>
        <v>0.0005214651945562</v>
      </c>
      <c r="E915" s="3" t="n">
        <f aca="false">E$8*E$10*(1-EXP(-2*$C915/SQRT(PI()*E$9*E$10)))</f>
        <v>0.00052146490672969</v>
      </c>
      <c r="F915" s="3" t="n">
        <f aca="false">F$8*F$10*(1-EXP(-2*$C915/SQRT(PI()*F$9*F$10)))</f>
        <v>0.000521445602309117</v>
      </c>
      <c r="G915" s="3" t="n">
        <f aca="false">G$8*G$10*(1-EXP(-2*$C915/SQRT(PI()*G$9*G$10)))</f>
        <v>0.000260732453364845</v>
      </c>
      <c r="H915" s="3" t="n">
        <f aca="false">H$8*H$10*(1-EXP(-2*$C915/SQRT(PI()*H$9*H$10)))</f>
        <v>5.214651945562E-005</v>
      </c>
    </row>
    <row r="916" customFormat="false" ht="15.75" hidden="false" customHeight="false" outlineLevel="0" collapsed="false">
      <c r="C916" s="0" t="n">
        <v>90.4</v>
      </c>
      <c r="D916" s="3" t="n">
        <f aca="false">D$8*D$10*(1-EXP(-2*$C916/SQRT(PI()*D$9*D$10)))</f>
        <v>0.000521465194556201</v>
      </c>
      <c r="E916" s="3" t="n">
        <f aca="false">E$8*E$10*(1-EXP(-2*$C916/SQRT(PI()*E$9*E$10)))</f>
        <v>0.000521464911286284</v>
      </c>
      <c r="F916" s="3" t="n">
        <f aca="false">F$8*F$10*(1-EXP(-2*$C916/SQRT(PI()*F$9*F$10)))</f>
        <v>0.000521445822141348</v>
      </c>
      <c r="G916" s="3" t="n">
        <f aca="false">G$8*G$10*(1-EXP(-2*$C916/SQRT(PI()*G$9*G$10)))</f>
        <v>0.000260732455643142</v>
      </c>
      <c r="H916" s="3" t="n">
        <f aca="false">H$8*H$10*(1-EXP(-2*$C916/SQRT(PI()*H$9*H$10)))</f>
        <v>5.21465194556201E-005</v>
      </c>
    </row>
    <row r="917" customFormat="false" ht="15.75" hidden="false" customHeight="false" outlineLevel="0" collapsed="false">
      <c r="C917" s="0" t="n">
        <v>90.5</v>
      </c>
      <c r="D917" s="3" t="n">
        <f aca="false">D$8*D$10*(1-EXP(-2*$C917/SQRT(PI()*D$9*D$10)))</f>
        <v>0.000521465194556201</v>
      </c>
      <c r="E917" s="3" t="n">
        <f aca="false">E$8*E$10*(1-EXP(-2*$C917/SQRT(PI()*E$9*E$10)))</f>
        <v>0.000521464915770742</v>
      </c>
      <c r="F917" s="3" t="n">
        <f aca="false">F$8*F$10*(1-EXP(-2*$C917/SQRT(PI()*F$9*F$10)))</f>
        <v>0.000521446039506981</v>
      </c>
      <c r="G917" s="3" t="n">
        <f aca="false">G$8*G$10*(1-EXP(-2*$C917/SQRT(PI()*G$9*G$10)))</f>
        <v>0.000260732457885371</v>
      </c>
      <c r="H917" s="3" t="n">
        <f aca="false">H$8*H$10*(1-EXP(-2*$C917/SQRT(PI()*H$9*H$10)))</f>
        <v>5.21465194556201E-005</v>
      </c>
    </row>
    <row r="918" customFormat="false" ht="15.75" hidden="false" customHeight="false" outlineLevel="0" collapsed="false">
      <c r="C918" s="0" t="n">
        <v>90.6</v>
      </c>
      <c r="D918" s="3" t="n">
        <f aca="false">D$8*D$10*(1-EXP(-2*$C918/SQRT(PI()*D$9*D$10)))</f>
        <v>0.000521465194556201</v>
      </c>
      <c r="E918" s="3" t="n">
        <f aca="false">E$8*E$10*(1-EXP(-2*$C918/SQRT(PI()*E$9*E$10)))</f>
        <v>0.000521464920184206</v>
      </c>
      <c r="F918" s="3" t="n">
        <f aca="false">F$8*F$10*(1-EXP(-2*$C918/SQRT(PI()*F$9*F$10)))</f>
        <v>0.000521446254433691</v>
      </c>
      <c r="G918" s="3" t="n">
        <f aca="false">G$8*G$10*(1-EXP(-2*$C918/SQRT(PI()*G$9*G$10)))</f>
        <v>0.000260732460092103</v>
      </c>
      <c r="H918" s="3" t="n">
        <f aca="false">H$8*H$10*(1-EXP(-2*$C918/SQRT(PI()*H$9*H$10)))</f>
        <v>5.21465194556201E-005</v>
      </c>
    </row>
    <row r="919" customFormat="false" ht="15.75" hidden="false" customHeight="false" outlineLevel="0" collapsed="false">
      <c r="C919" s="0" t="n">
        <v>90.7</v>
      </c>
      <c r="D919" s="3" t="n">
        <f aca="false">D$8*D$10*(1-EXP(-2*$C919/SQRT(PI()*D$9*D$10)))</f>
        <v>0.000521465194556201</v>
      </c>
      <c r="E919" s="3" t="n">
        <f aca="false">E$8*E$10*(1-EXP(-2*$C919/SQRT(PI()*E$9*E$10)))</f>
        <v>0.000521464924527801</v>
      </c>
      <c r="F919" s="3" t="n">
        <f aca="false">F$8*F$10*(1-EXP(-2*$C919/SQRT(PI()*F$9*F$10)))</f>
        <v>0.000521446466948845</v>
      </c>
      <c r="G919" s="3" t="n">
        <f aca="false">G$8*G$10*(1-EXP(-2*$C919/SQRT(PI()*G$9*G$10)))</f>
        <v>0.0002607324622639</v>
      </c>
      <c r="H919" s="3" t="n">
        <f aca="false">H$8*H$10*(1-EXP(-2*$C919/SQRT(PI()*H$9*H$10)))</f>
        <v>5.21465194556201E-005</v>
      </c>
    </row>
    <row r="920" customFormat="false" ht="15.75" hidden="false" customHeight="false" outlineLevel="0" collapsed="false">
      <c r="C920" s="0" t="n">
        <v>90.8</v>
      </c>
      <c r="D920" s="3" t="n">
        <f aca="false">D$8*D$10*(1-EXP(-2*$C920/SQRT(PI()*D$9*D$10)))</f>
        <v>0.000521465194556201</v>
      </c>
      <c r="E920" s="3" t="n">
        <f aca="false">E$8*E$10*(1-EXP(-2*$C920/SQRT(PI()*E$9*E$10)))</f>
        <v>0.000521464928802632</v>
      </c>
      <c r="F920" s="3" t="n">
        <f aca="false">F$8*F$10*(1-EXP(-2*$C920/SQRT(PI()*F$9*F$10)))</f>
        <v>0.0005214466770795</v>
      </c>
      <c r="G920" s="3" t="n">
        <f aca="false">G$8*G$10*(1-EXP(-2*$C920/SQRT(PI()*G$9*G$10)))</f>
        <v>0.000260732464401316</v>
      </c>
      <c r="H920" s="3" t="n">
        <f aca="false">H$8*H$10*(1-EXP(-2*$C920/SQRT(PI()*H$9*H$10)))</f>
        <v>5.21465194556201E-005</v>
      </c>
    </row>
    <row r="921" customFormat="false" ht="15.75" hidden="false" customHeight="false" outlineLevel="0" collapsed="false">
      <c r="C921" s="0" t="n">
        <v>90.9</v>
      </c>
      <c r="D921" s="3" t="n">
        <f aca="false">D$8*D$10*(1-EXP(-2*$C921/SQRT(PI()*D$9*D$10)))</f>
        <v>0.000521465194556201</v>
      </c>
      <c r="E921" s="3" t="n">
        <f aca="false">E$8*E$10*(1-EXP(-2*$C921/SQRT(PI()*E$9*E$10)))</f>
        <v>0.000521464933009788</v>
      </c>
      <c r="F921" s="3" t="n">
        <f aca="false">F$8*F$10*(1-EXP(-2*$C921/SQRT(PI()*F$9*F$10)))</f>
        <v>0.000521446884852412</v>
      </c>
      <c r="G921" s="3" t="n">
        <f aca="false">G$8*G$10*(1-EXP(-2*$C921/SQRT(PI()*G$9*G$10)))</f>
        <v>0.000260732466504894</v>
      </c>
      <c r="H921" s="3" t="n">
        <f aca="false">H$8*H$10*(1-EXP(-2*$C921/SQRT(PI()*H$9*H$10)))</f>
        <v>5.21465194556201E-005</v>
      </c>
    </row>
    <row r="922" customFormat="false" ht="15.75" hidden="false" customHeight="false" outlineLevel="0" collapsed="false">
      <c r="C922" s="0" t="n">
        <v>91</v>
      </c>
      <c r="D922" s="3" t="n">
        <f aca="false">D$8*D$10*(1-EXP(-2*$C922/SQRT(PI()*D$9*D$10)))</f>
        <v>0.000521465194556202</v>
      </c>
      <c r="E922" s="3" t="n">
        <f aca="false">E$8*E$10*(1-EXP(-2*$C922/SQRT(PI()*E$9*E$10)))</f>
        <v>0.00052146493715034</v>
      </c>
      <c r="F922" s="3" t="n">
        <f aca="false">F$8*F$10*(1-EXP(-2*$C922/SQRT(PI()*F$9*F$10)))</f>
        <v>0.000521447090294035</v>
      </c>
      <c r="G922" s="3" t="n">
        <f aca="false">G$8*G$10*(1-EXP(-2*$C922/SQRT(PI()*G$9*G$10)))</f>
        <v>0.00026073246857517</v>
      </c>
      <c r="H922" s="3" t="n">
        <f aca="false">H$8*H$10*(1-EXP(-2*$C922/SQRT(PI()*H$9*H$10)))</f>
        <v>5.21465194556202E-005</v>
      </c>
    </row>
    <row r="923" customFormat="false" ht="15.75" hidden="false" customHeight="false" outlineLevel="0" collapsed="false">
      <c r="C923" s="0" t="n">
        <v>91.1</v>
      </c>
      <c r="D923" s="3" t="n">
        <f aca="false">D$8*D$10*(1-EXP(-2*$C923/SQRT(PI()*D$9*D$10)))</f>
        <v>0.000521465194556202</v>
      </c>
      <c r="E923" s="3" t="n">
        <f aca="false">E$8*E$10*(1-EXP(-2*$C923/SQRT(PI()*E$9*E$10)))</f>
        <v>0.000521464941225343</v>
      </c>
      <c r="F923" s="3" t="n">
        <f aca="false">F$8*F$10*(1-EXP(-2*$C923/SQRT(PI()*F$9*F$10)))</f>
        <v>0.000521447293430527</v>
      </c>
      <c r="G923" s="3" t="n">
        <f aca="false">G$8*G$10*(1-EXP(-2*$C923/SQRT(PI()*G$9*G$10)))</f>
        <v>0.000260732470612672</v>
      </c>
      <c r="H923" s="3" t="n">
        <f aca="false">H$8*H$10*(1-EXP(-2*$C923/SQRT(PI()*H$9*H$10)))</f>
        <v>5.21465194556202E-005</v>
      </c>
    </row>
    <row r="924" customFormat="false" ht="15.75" hidden="false" customHeight="false" outlineLevel="0" collapsed="false">
      <c r="C924" s="0" t="n">
        <v>91.2</v>
      </c>
      <c r="D924" s="3" t="n">
        <f aca="false">D$8*D$10*(1-EXP(-2*$C924/SQRT(PI()*D$9*D$10)))</f>
        <v>0.000521465194556202</v>
      </c>
      <c r="E924" s="3" t="n">
        <f aca="false">E$8*E$10*(1-EXP(-2*$C924/SQRT(PI()*E$9*E$10)))</f>
        <v>0.000521464945235835</v>
      </c>
      <c r="F924" s="3" t="n">
        <f aca="false">F$8*F$10*(1-EXP(-2*$C924/SQRT(PI()*F$9*F$10)))</f>
        <v>0.000521447494287753</v>
      </c>
      <c r="G924" s="3" t="n">
        <f aca="false">G$8*G$10*(1-EXP(-2*$C924/SQRT(PI()*G$9*G$10)))</f>
        <v>0.000260732472617917</v>
      </c>
      <c r="H924" s="3" t="n">
        <f aca="false">H$8*H$10*(1-EXP(-2*$C924/SQRT(PI()*H$9*H$10)))</f>
        <v>5.21465194556202E-005</v>
      </c>
    </row>
    <row r="925" customFormat="false" ht="15.75" hidden="false" customHeight="false" outlineLevel="0" collapsed="false">
      <c r="C925" s="0" t="n">
        <v>91.3</v>
      </c>
      <c r="D925" s="3" t="n">
        <f aca="false">D$8*D$10*(1-EXP(-2*$C925/SQRT(PI()*D$9*D$10)))</f>
        <v>0.000521465194556202</v>
      </c>
      <c r="E925" s="3" t="n">
        <f aca="false">E$8*E$10*(1-EXP(-2*$C925/SQRT(PI()*E$9*E$10)))</f>
        <v>0.000521464949182836</v>
      </c>
      <c r="F925" s="3" t="n">
        <f aca="false">F$8*F$10*(1-EXP(-2*$C925/SQRT(PI()*F$9*F$10)))</f>
        <v>0.000521447692891288</v>
      </c>
      <c r="G925" s="3" t="n">
        <f aca="false">G$8*G$10*(1-EXP(-2*$C925/SQRT(PI()*G$9*G$10)))</f>
        <v>0.000260732474591418</v>
      </c>
      <c r="H925" s="3" t="n">
        <f aca="false">H$8*H$10*(1-EXP(-2*$C925/SQRT(PI()*H$9*H$10)))</f>
        <v>5.21465194556202E-005</v>
      </c>
    </row>
    <row r="926" customFormat="false" ht="15.75" hidden="false" customHeight="false" outlineLevel="0" collapsed="false">
      <c r="C926" s="0" t="n">
        <v>91.4</v>
      </c>
      <c r="D926" s="3" t="n">
        <f aca="false">D$8*D$10*(1-EXP(-2*$C926/SQRT(PI()*D$9*D$10)))</f>
        <v>0.000521465194556202</v>
      </c>
      <c r="E926" s="3" t="n">
        <f aca="false">E$8*E$10*(1-EXP(-2*$C926/SQRT(PI()*E$9*E$10)))</f>
        <v>0.000521464953067352</v>
      </c>
      <c r="F926" s="3" t="n">
        <f aca="false">F$8*F$10*(1-EXP(-2*$C926/SQRT(PI()*F$9*F$10)))</f>
        <v>0.000521447889266417</v>
      </c>
      <c r="G926" s="3" t="n">
        <f aca="false">G$8*G$10*(1-EXP(-2*$C926/SQRT(PI()*G$9*G$10)))</f>
        <v>0.000260732476533676</v>
      </c>
      <c r="H926" s="3" t="n">
        <f aca="false">H$8*H$10*(1-EXP(-2*$C926/SQRT(PI()*H$9*H$10)))</f>
        <v>5.21465194556202E-005</v>
      </c>
    </row>
    <row r="927" customFormat="false" ht="15.75" hidden="false" customHeight="false" outlineLevel="0" collapsed="false">
      <c r="C927" s="0" t="n">
        <v>91.5</v>
      </c>
      <c r="D927" s="3" t="n">
        <f aca="false">D$8*D$10*(1-EXP(-2*$C927/SQRT(PI()*D$9*D$10)))</f>
        <v>0.000521465194556202</v>
      </c>
      <c r="E927" s="3" t="n">
        <f aca="false">E$8*E$10*(1-EXP(-2*$C927/SQRT(PI()*E$9*E$10)))</f>
        <v>0.000521464956890372</v>
      </c>
      <c r="F927" s="3" t="n">
        <f aca="false">F$8*F$10*(1-EXP(-2*$C927/SQRT(PI()*F$9*F$10)))</f>
        <v>0.000521448083438145</v>
      </c>
      <c r="G927" s="3" t="n">
        <f aca="false">G$8*G$10*(1-EXP(-2*$C927/SQRT(PI()*G$9*G$10)))</f>
        <v>0.000260732478445186</v>
      </c>
      <c r="H927" s="3" t="n">
        <f aca="false">H$8*H$10*(1-EXP(-2*$C927/SQRT(PI()*H$9*H$10)))</f>
        <v>5.21465194556202E-005</v>
      </c>
    </row>
    <row r="928" customFormat="false" ht="15.75" hidden="false" customHeight="false" outlineLevel="0" collapsed="false">
      <c r="C928" s="0" t="n">
        <v>91.6</v>
      </c>
      <c r="D928" s="3" t="n">
        <f aca="false">D$8*D$10*(1-EXP(-2*$C928/SQRT(PI()*D$9*D$10)))</f>
        <v>0.000521465194556202</v>
      </c>
      <c r="E928" s="3" t="n">
        <f aca="false">E$8*E$10*(1-EXP(-2*$C928/SQRT(PI()*E$9*E$10)))</f>
        <v>0.00052146496065287</v>
      </c>
      <c r="F928" s="3" t="n">
        <f aca="false">F$8*F$10*(1-EXP(-2*$C928/SQRT(PI()*F$9*F$10)))</f>
        <v>0.000521448275431194</v>
      </c>
      <c r="G928" s="3" t="n">
        <f aca="false">G$8*G$10*(1-EXP(-2*$C928/SQRT(PI()*G$9*G$10)))</f>
        <v>0.000260732480326435</v>
      </c>
      <c r="H928" s="3" t="n">
        <f aca="false">H$8*H$10*(1-EXP(-2*$C928/SQRT(PI()*H$9*H$10)))</f>
        <v>5.21465194556202E-005</v>
      </c>
    </row>
    <row r="929" customFormat="false" ht="15.75" hidden="false" customHeight="false" outlineLevel="0" collapsed="false">
      <c r="C929" s="0" t="n">
        <v>91.7</v>
      </c>
      <c r="D929" s="3" t="n">
        <f aca="false">D$8*D$10*(1-EXP(-2*$C929/SQRT(PI()*D$9*D$10)))</f>
        <v>0.000521465194556203</v>
      </c>
      <c r="E929" s="3" t="n">
        <f aca="false">E$8*E$10*(1-EXP(-2*$C929/SQRT(PI()*E$9*E$10)))</f>
        <v>0.000521464964355803</v>
      </c>
      <c r="F929" s="3" t="n">
        <f aca="false">F$8*F$10*(1-EXP(-2*$C929/SQRT(PI()*F$9*F$10)))</f>
        <v>0.000521448465270011</v>
      </c>
      <c r="G929" s="3" t="n">
        <f aca="false">G$8*G$10*(1-EXP(-2*$C929/SQRT(PI()*G$9*G$10)))</f>
        <v>0.000260732482177902</v>
      </c>
      <c r="H929" s="3" t="n">
        <f aca="false">H$8*H$10*(1-EXP(-2*$C929/SQRT(PI()*H$9*H$10)))</f>
        <v>5.21465194556203E-005</v>
      </c>
    </row>
    <row r="930" customFormat="false" ht="15.75" hidden="false" customHeight="false" outlineLevel="0" collapsed="false">
      <c r="C930" s="0" t="n">
        <v>91.8</v>
      </c>
      <c r="D930" s="3" t="n">
        <f aca="false">D$8*D$10*(1-EXP(-2*$C930/SQRT(PI()*D$9*D$10)))</f>
        <v>0.000521465194556203</v>
      </c>
      <c r="E930" s="3" t="n">
        <f aca="false">E$8*E$10*(1-EXP(-2*$C930/SQRT(PI()*E$9*E$10)))</f>
        <v>0.000521464968000115</v>
      </c>
      <c r="F930" s="3" t="n">
        <f aca="false">F$8*F$10*(1-EXP(-2*$C930/SQRT(PI()*F$9*F$10)))</f>
        <v>0.000521448652978766</v>
      </c>
      <c r="G930" s="3" t="n">
        <f aca="false">G$8*G$10*(1-EXP(-2*$C930/SQRT(PI()*G$9*G$10)))</f>
        <v>0.000260732484000058</v>
      </c>
      <c r="H930" s="3" t="n">
        <f aca="false">H$8*H$10*(1-EXP(-2*$C930/SQRT(PI()*H$9*H$10)))</f>
        <v>5.21465194556203E-005</v>
      </c>
    </row>
    <row r="931" customFormat="false" ht="15.75" hidden="false" customHeight="false" outlineLevel="0" collapsed="false">
      <c r="C931" s="0" t="n">
        <v>91.9</v>
      </c>
      <c r="D931" s="3" t="n">
        <f aca="false">D$8*D$10*(1-EXP(-2*$C931/SQRT(PI()*D$9*D$10)))</f>
        <v>0.000521465194556203</v>
      </c>
      <c r="E931" s="3" t="n">
        <f aca="false">E$8*E$10*(1-EXP(-2*$C931/SQRT(PI()*E$9*E$10)))</f>
        <v>0.000521464971586734</v>
      </c>
      <c r="F931" s="3" t="n">
        <f aca="false">F$8*F$10*(1-EXP(-2*$C931/SQRT(PI()*F$9*F$10)))</f>
        <v>0.00052144883858136</v>
      </c>
      <c r="G931" s="3" t="n">
        <f aca="false">G$8*G$10*(1-EXP(-2*$C931/SQRT(PI()*G$9*G$10)))</f>
        <v>0.000260732485793367</v>
      </c>
      <c r="H931" s="3" t="n">
        <f aca="false">H$8*H$10*(1-EXP(-2*$C931/SQRT(PI()*H$9*H$10)))</f>
        <v>5.21465194556203E-005</v>
      </c>
    </row>
    <row r="932" customFormat="false" ht="15.75" hidden="false" customHeight="false" outlineLevel="0" collapsed="false">
      <c r="C932" s="0" t="n">
        <v>92</v>
      </c>
      <c r="D932" s="3" t="n">
        <f aca="false">D$8*D$10*(1-EXP(-2*$C932/SQRT(PI()*D$9*D$10)))</f>
        <v>0.000521465194556203</v>
      </c>
      <c r="E932" s="3" t="n">
        <f aca="false">E$8*E$10*(1-EXP(-2*$C932/SQRT(PI()*E$9*E$10)))</f>
        <v>0.000521464975116574</v>
      </c>
      <c r="F932" s="3" t="n">
        <f aca="false">F$8*F$10*(1-EXP(-2*$C932/SQRT(PI()*F$9*F$10)))</f>
        <v>0.000521449022101425</v>
      </c>
      <c r="G932" s="3" t="n">
        <f aca="false">G$8*G$10*(1-EXP(-2*$C932/SQRT(PI()*G$9*G$10)))</f>
        <v>0.000260732487558287</v>
      </c>
      <c r="H932" s="3" t="n">
        <f aca="false">H$8*H$10*(1-EXP(-2*$C932/SQRT(PI()*H$9*H$10)))</f>
        <v>5.21465194556203E-005</v>
      </c>
    </row>
    <row r="933" customFormat="false" ht="15.75" hidden="false" customHeight="false" outlineLevel="0" collapsed="false">
      <c r="C933" s="0" t="n">
        <v>92.1</v>
      </c>
      <c r="D933" s="3" t="n">
        <f aca="false">D$8*D$10*(1-EXP(-2*$C933/SQRT(PI()*D$9*D$10)))</f>
        <v>0.000521465194556203</v>
      </c>
      <c r="E933" s="3" t="n">
        <f aca="false">E$8*E$10*(1-EXP(-2*$C933/SQRT(PI()*E$9*E$10)))</f>
        <v>0.000521464978590532</v>
      </c>
      <c r="F933" s="3" t="n">
        <f aca="false">F$8*F$10*(1-EXP(-2*$C933/SQRT(PI()*F$9*F$10)))</f>
        <v>0.000521449203562326</v>
      </c>
      <c r="G933" s="3" t="n">
        <f aca="false">G$8*G$10*(1-EXP(-2*$C933/SQRT(PI()*G$9*G$10)))</f>
        <v>0.000260732489295266</v>
      </c>
      <c r="H933" s="3" t="n">
        <f aca="false">H$8*H$10*(1-EXP(-2*$C933/SQRT(PI()*H$9*H$10)))</f>
        <v>5.21465194556203E-005</v>
      </c>
    </row>
    <row r="934" customFormat="false" ht="15.75" hidden="false" customHeight="false" outlineLevel="0" collapsed="false">
      <c r="C934" s="0" t="n">
        <v>92.2</v>
      </c>
      <c r="D934" s="3" t="n">
        <f aca="false">D$8*D$10*(1-EXP(-2*$C934/SQRT(PI()*D$9*D$10)))</f>
        <v>0.000521465194556203</v>
      </c>
      <c r="E934" s="3" t="n">
        <f aca="false">E$8*E$10*(1-EXP(-2*$C934/SQRT(PI()*E$9*E$10)))</f>
        <v>0.000521464982009493</v>
      </c>
      <c r="F934" s="3" t="n">
        <f aca="false">F$8*F$10*(1-EXP(-2*$C934/SQRT(PI()*F$9*F$10)))</f>
        <v>0.00052144938298717</v>
      </c>
      <c r="G934" s="3" t="n">
        <f aca="false">G$8*G$10*(1-EXP(-2*$C934/SQRT(PI()*G$9*G$10)))</f>
        <v>0.000260732491004747</v>
      </c>
      <c r="H934" s="3" t="n">
        <f aca="false">H$8*H$10*(1-EXP(-2*$C934/SQRT(PI()*H$9*H$10)))</f>
        <v>5.21465194556203E-005</v>
      </c>
    </row>
    <row r="935" customFormat="false" ht="15.75" hidden="false" customHeight="false" outlineLevel="0" collapsed="false">
      <c r="C935" s="0" t="n">
        <v>92.3</v>
      </c>
      <c r="D935" s="3" t="n">
        <f aca="false">D$8*D$10*(1-EXP(-2*$C935/SQRT(PI()*D$9*D$10)))</f>
        <v>0.000521465194556203</v>
      </c>
      <c r="E935" s="3" t="n">
        <f aca="false">E$8*E$10*(1-EXP(-2*$C935/SQRT(PI()*E$9*E$10)))</f>
        <v>0.000521464985374329</v>
      </c>
      <c r="F935" s="3" t="n">
        <f aca="false">F$8*F$10*(1-EXP(-2*$C935/SQRT(PI()*F$9*F$10)))</f>
        <v>0.000521449560398801</v>
      </c>
      <c r="G935" s="3" t="n">
        <f aca="false">G$8*G$10*(1-EXP(-2*$C935/SQRT(PI()*G$9*G$10)))</f>
        <v>0.000260732492687164</v>
      </c>
      <c r="H935" s="3" t="n">
        <f aca="false">H$8*H$10*(1-EXP(-2*$C935/SQRT(PI()*H$9*H$10)))</f>
        <v>5.21465194556203E-005</v>
      </c>
    </row>
    <row r="936" customFormat="false" ht="15.75" hidden="false" customHeight="false" outlineLevel="0" collapsed="false">
      <c r="C936" s="0" t="n">
        <v>92.4</v>
      </c>
      <c r="D936" s="3" t="n">
        <f aca="false">D$8*D$10*(1-EXP(-2*$C936/SQRT(PI()*D$9*D$10)))</f>
        <v>0.000521465194556203</v>
      </c>
      <c r="E936" s="3" t="n">
        <f aca="false">E$8*E$10*(1-EXP(-2*$C936/SQRT(PI()*E$9*E$10)))</f>
        <v>0.000521464988685896</v>
      </c>
      <c r="F936" s="3" t="n">
        <f aca="false">F$8*F$10*(1-EXP(-2*$C936/SQRT(PI()*F$9*F$10)))</f>
        <v>0.000521449735819807</v>
      </c>
      <c r="G936" s="3" t="n">
        <f aca="false">G$8*G$10*(1-EXP(-2*$C936/SQRT(PI()*G$9*G$10)))</f>
        <v>0.000260732494342948</v>
      </c>
      <c r="H936" s="3" t="n">
        <f aca="false">H$8*H$10*(1-EXP(-2*$C936/SQRT(PI()*H$9*H$10)))</f>
        <v>5.21465194556203E-005</v>
      </c>
    </row>
    <row r="937" customFormat="false" ht="15.75" hidden="false" customHeight="false" outlineLevel="0" collapsed="false">
      <c r="C937" s="0" t="n">
        <v>92.5</v>
      </c>
      <c r="D937" s="3" t="n">
        <f aca="false">D$8*D$10*(1-EXP(-2*$C937/SQRT(PI()*D$9*D$10)))</f>
        <v>0.000521465194556203</v>
      </c>
      <c r="E937" s="3" t="n">
        <f aca="false">E$8*E$10*(1-EXP(-2*$C937/SQRT(PI()*E$9*E$10)))</f>
        <v>0.000521464991945038</v>
      </c>
      <c r="F937" s="3" t="n">
        <f aca="false">F$8*F$10*(1-EXP(-2*$C937/SQRT(PI()*F$9*F$10)))</f>
        <v>0.000521449909272526</v>
      </c>
      <c r="G937" s="3" t="n">
        <f aca="false">G$8*G$10*(1-EXP(-2*$C937/SQRT(PI()*G$9*G$10)))</f>
        <v>0.000260732495972519</v>
      </c>
      <c r="H937" s="3" t="n">
        <f aca="false">H$8*H$10*(1-EXP(-2*$C937/SQRT(PI()*H$9*H$10)))</f>
        <v>5.21465194556203E-005</v>
      </c>
    </row>
    <row r="938" customFormat="false" ht="15.75" hidden="false" customHeight="false" outlineLevel="0" collapsed="false">
      <c r="C938" s="0" t="n">
        <v>92.6</v>
      </c>
      <c r="D938" s="3" t="n">
        <f aca="false">D$8*D$10*(1-EXP(-2*$C938/SQRT(PI()*D$9*D$10)))</f>
        <v>0.000521465194556203</v>
      </c>
      <c r="E938" s="3" t="n">
        <f aca="false">E$8*E$10*(1-EXP(-2*$C938/SQRT(PI()*E$9*E$10)))</f>
        <v>0.000521464995152583</v>
      </c>
      <c r="F938" s="3" t="n">
        <f aca="false">F$8*F$10*(1-EXP(-2*$C938/SQRT(PI()*F$9*F$10)))</f>
        <v>0.000521450080779041</v>
      </c>
      <c r="G938" s="3" t="n">
        <f aca="false">G$8*G$10*(1-EXP(-2*$C938/SQRT(PI()*G$9*G$10)))</f>
        <v>0.000260732497576292</v>
      </c>
      <c r="H938" s="3" t="n">
        <f aca="false">H$8*H$10*(1-EXP(-2*$C938/SQRT(PI()*H$9*H$10)))</f>
        <v>5.21465194556203E-005</v>
      </c>
    </row>
    <row r="939" customFormat="false" ht="15.75" hidden="false" customHeight="false" outlineLevel="0" collapsed="false">
      <c r="C939" s="0" t="n">
        <v>92.7</v>
      </c>
      <c r="D939" s="3" t="n">
        <f aca="false">D$8*D$10*(1-EXP(-2*$C939/SQRT(PI()*D$9*D$10)))</f>
        <v>0.000521465194556203</v>
      </c>
      <c r="E939" s="3" t="n">
        <f aca="false">E$8*E$10*(1-EXP(-2*$C939/SQRT(PI()*E$9*E$10)))</f>
        <v>0.000521464998309351</v>
      </c>
      <c r="F939" s="3" t="n">
        <f aca="false">F$8*F$10*(1-EXP(-2*$C939/SQRT(PI()*F$9*F$10)))</f>
        <v>0.00052145025036119</v>
      </c>
      <c r="G939" s="3" t="n">
        <f aca="false">G$8*G$10*(1-EXP(-2*$C939/SQRT(PI()*G$9*G$10)))</f>
        <v>0.000260732499154675</v>
      </c>
      <c r="H939" s="3" t="n">
        <f aca="false">H$8*H$10*(1-EXP(-2*$C939/SQRT(PI()*H$9*H$10)))</f>
        <v>5.21465194556204E-005</v>
      </c>
    </row>
    <row r="940" customFormat="false" ht="15.75" hidden="false" customHeight="false" outlineLevel="0" collapsed="false">
      <c r="C940" s="0" t="n">
        <v>92.8</v>
      </c>
      <c r="D940" s="3" t="n">
        <f aca="false">D$8*D$10*(1-EXP(-2*$C940/SQRT(PI()*D$9*D$10)))</f>
        <v>0.000521465194556204</v>
      </c>
      <c r="E940" s="3" t="n">
        <f aca="false">E$8*E$10*(1-EXP(-2*$C940/SQRT(PI()*E$9*E$10)))</f>
        <v>0.000521465001416143</v>
      </c>
      <c r="F940" s="3" t="n">
        <f aca="false">F$8*F$10*(1-EXP(-2*$C940/SQRT(PI()*F$9*F$10)))</f>
        <v>0.000521450418040564</v>
      </c>
      <c r="G940" s="3" t="n">
        <f aca="false">G$8*G$10*(1-EXP(-2*$C940/SQRT(PI()*G$9*G$10)))</f>
        <v>0.000260732500708071</v>
      </c>
      <c r="H940" s="3" t="n">
        <f aca="false">H$8*H$10*(1-EXP(-2*$C940/SQRT(PI()*H$9*H$10)))</f>
        <v>5.21465194556204E-005</v>
      </c>
    </row>
    <row r="941" customFormat="false" ht="15.75" hidden="false" customHeight="false" outlineLevel="0" collapsed="false">
      <c r="C941" s="0" t="n">
        <v>92.9</v>
      </c>
      <c r="D941" s="3" t="n">
        <f aca="false">D$8*D$10*(1-EXP(-2*$C941/SQRT(PI()*D$9*D$10)))</f>
        <v>0.000521465194556204</v>
      </c>
      <c r="E941" s="3" t="n">
        <f aca="false">E$8*E$10*(1-EXP(-2*$C941/SQRT(PI()*E$9*E$10)))</f>
        <v>0.000521465004473751</v>
      </c>
      <c r="F941" s="3" t="n">
        <f aca="false">F$8*F$10*(1-EXP(-2*$C941/SQRT(PI()*F$9*F$10)))</f>
        <v>0.000521450583838514</v>
      </c>
      <c r="G941" s="3" t="n">
        <f aca="false">G$8*G$10*(1-EXP(-2*$C941/SQRT(PI()*G$9*G$10)))</f>
        <v>0.000260732502236876</v>
      </c>
      <c r="H941" s="3" t="n">
        <f aca="false">H$8*H$10*(1-EXP(-2*$C941/SQRT(PI()*H$9*H$10)))</f>
        <v>5.21465194556204E-005</v>
      </c>
    </row>
    <row r="942" customFormat="false" ht="15.75" hidden="false" customHeight="false" outlineLevel="0" collapsed="false">
      <c r="C942" s="0" t="n">
        <v>93</v>
      </c>
      <c r="D942" s="3" t="n">
        <f aca="false">D$8*D$10*(1-EXP(-2*$C942/SQRT(PI()*D$9*D$10)))</f>
        <v>0.000521465194556204</v>
      </c>
      <c r="E942" s="3" t="n">
        <f aca="false">E$8*E$10*(1-EXP(-2*$C942/SQRT(PI()*E$9*E$10)))</f>
        <v>0.000521465007482954</v>
      </c>
      <c r="F942" s="3" t="n">
        <f aca="false">F$8*F$10*(1-EXP(-2*$C942/SQRT(PI()*F$9*F$10)))</f>
        <v>0.00052145074777615</v>
      </c>
      <c r="G942" s="3" t="n">
        <f aca="false">G$8*G$10*(1-EXP(-2*$C942/SQRT(PI()*G$9*G$10)))</f>
        <v>0.000260732503741477</v>
      </c>
      <c r="H942" s="3" t="n">
        <f aca="false">H$8*H$10*(1-EXP(-2*$C942/SQRT(PI()*H$9*H$10)))</f>
        <v>5.21465194556204E-005</v>
      </c>
    </row>
    <row r="943" customFormat="false" ht="15.75" hidden="false" customHeight="false" outlineLevel="0" collapsed="false">
      <c r="C943" s="0" t="n">
        <v>93.1</v>
      </c>
      <c r="D943" s="3" t="n">
        <f aca="false">D$8*D$10*(1-EXP(-2*$C943/SQRT(PI()*D$9*D$10)))</f>
        <v>0.000521465194556204</v>
      </c>
      <c r="E943" s="3" t="n">
        <f aca="false">E$8*E$10*(1-EXP(-2*$C943/SQRT(PI()*E$9*E$10)))</f>
        <v>0.000521465010444519</v>
      </c>
      <c r="F943" s="3" t="n">
        <f aca="false">F$8*F$10*(1-EXP(-2*$C943/SQRT(PI()*F$9*F$10)))</f>
        <v>0.000521450909874346</v>
      </c>
      <c r="G943" s="3" t="n">
        <f aca="false">G$8*G$10*(1-EXP(-2*$C943/SQRT(PI()*G$9*G$10)))</f>
        <v>0.000260732505222259</v>
      </c>
      <c r="H943" s="3" t="n">
        <f aca="false">H$8*H$10*(1-EXP(-2*$C943/SQRT(PI()*H$9*H$10)))</f>
        <v>5.21465194556204E-005</v>
      </c>
    </row>
    <row r="944" customFormat="false" ht="15.75" hidden="false" customHeight="false" outlineLevel="0" collapsed="false">
      <c r="C944" s="0" t="n">
        <v>93.2</v>
      </c>
      <c r="D944" s="3" t="n">
        <f aca="false">D$8*D$10*(1-EXP(-2*$C944/SQRT(PI()*D$9*D$10)))</f>
        <v>0.000521465194556204</v>
      </c>
      <c r="E944" s="3" t="n">
        <f aca="false">E$8*E$10*(1-EXP(-2*$C944/SQRT(PI()*E$9*E$10)))</f>
        <v>0.000521465013359199</v>
      </c>
      <c r="F944" s="3" t="n">
        <f aca="false">F$8*F$10*(1-EXP(-2*$C944/SQRT(PI()*F$9*F$10)))</f>
        <v>0.00052145107015374</v>
      </c>
      <c r="G944" s="3" t="n">
        <f aca="false">G$8*G$10*(1-EXP(-2*$C944/SQRT(PI()*G$9*G$10)))</f>
        <v>0.000260732506679599</v>
      </c>
      <c r="H944" s="3" t="n">
        <f aca="false">H$8*H$10*(1-EXP(-2*$C944/SQRT(PI()*H$9*H$10)))</f>
        <v>5.21465194556204E-005</v>
      </c>
    </row>
    <row r="945" customFormat="false" ht="15.75" hidden="false" customHeight="false" outlineLevel="0" collapsed="false">
      <c r="C945" s="0" t="n">
        <v>93.3</v>
      </c>
      <c r="D945" s="3" t="n">
        <f aca="false">D$8*D$10*(1-EXP(-2*$C945/SQRT(PI()*D$9*D$10)))</f>
        <v>0.000521465194556204</v>
      </c>
      <c r="E945" s="3" t="n">
        <f aca="false">E$8*E$10*(1-EXP(-2*$C945/SQRT(PI()*E$9*E$10)))</f>
        <v>0.000521465016227736</v>
      </c>
      <c r="F945" s="3" t="n">
        <f aca="false">F$8*F$10*(1-EXP(-2*$C945/SQRT(PI()*F$9*F$10)))</f>
        <v>0.00052145122863474</v>
      </c>
      <c r="G945" s="3" t="n">
        <f aca="false">G$8*G$10*(1-EXP(-2*$C945/SQRT(PI()*G$9*G$10)))</f>
        <v>0.000260732508113868</v>
      </c>
      <c r="H945" s="3" t="n">
        <f aca="false">H$8*H$10*(1-EXP(-2*$C945/SQRT(PI()*H$9*H$10)))</f>
        <v>5.21465194556204E-005</v>
      </c>
    </row>
    <row r="946" customFormat="false" ht="15.75" hidden="false" customHeight="false" outlineLevel="0" collapsed="false">
      <c r="C946" s="0" t="n">
        <v>93.4</v>
      </c>
      <c r="D946" s="3" t="n">
        <f aca="false">D$8*D$10*(1-EXP(-2*$C946/SQRT(PI()*D$9*D$10)))</f>
        <v>0.000521465194556204</v>
      </c>
      <c r="E946" s="3" t="n">
        <f aca="false">E$8*E$10*(1-EXP(-2*$C946/SQRT(PI()*E$9*E$10)))</f>
        <v>0.000521465019050862</v>
      </c>
      <c r="F946" s="3" t="n">
        <f aca="false">F$8*F$10*(1-EXP(-2*$C946/SQRT(PI()*F$9*F$10)))</f>
        <v>0.000521451385337525</v>
      </c>
      <c r="G946" s="3" t="n">
        <f aca="false">G$8*G$10*(1-EXP(-2*$C946/SQRT(PI()*G$9*G$10)))</f>
        <v>0.000260732509525431</v>
      </c>
      <c r="H946" s="3" t="n">
        <f aca="false">H$8*H$10*(1-EXP(-2*$C946/SQRT(PI()*H$9*H$10)))</f>
        <v>5.21465194556204E-005</v>
      </c>
    </row>
    <row r="947" customFormat="false" ht="15.75" hidden="false" customHeight="false" outlineLevel="0" collapsed="false">
      <c r="C947" s="0" t="n">
        <v>93.5</v>
      </c>
      <c r="D947" s="3" t="n">
        <f aca="false">D$8*D$10*(1-EXP(-2*$C947/SQRT(PI()*D$9*D$10)))</f>
        <v>0.000521465194556204</v>
      </c>
      <c r="E947" s="3" t="n">
        <f aca="false">E$8*E$10*(1-EXP(-2*$C947/SQRT(PI()*E$9*E$10)))</f>
        <v>0.000521465021829294</v>
      </c>
      <c r="F947" s="3" t="n">
        <f aca="false">F$8*F$10*(1-EXP(-2*$C947/SQRT(PI()*F$9*F$10)))</f>
        <v>0.000521451540282047</v>
      </c>
      <c r="G947" s="3" t="n">
        <f aca="false">G$8*G$10*(1-EXP(-2*$C947/SQRT(PI()*G$9*G$10)))</f>
        <v>0.000260732510914647</v>
      </c>
      <c r="H947" s="3" t="n">
        <f aca="false">H$8*H$10*(1-EXP(-2*$C947/SQRT(PI()*H$9*H$10)))</f>
        <v>5.21465194556204E-005</v>
      </c>
    </row>
    <row r="948" customFormat="false" ht="15.75" hidden="false" customHeight="false" outlineLevel="0" collapsed="false">
      <c r="C948" s="0" t="n">
        <v>93.6</v>
      </c>
      <c r="D948" s="3" t="n">
        <f aca="false">D$8*D$10*(1-EXP(-2*$C948/SQRT(PI()*D$9*D$10)))</f>
        <v>0.000521465194556204</v>
      </c>
      <c r="E948" s="3" t="n">
        <f aca="false">E$8*E$10*(1-EXP(-2*$C948/SQRT(PI()*E$9*E$10)))</f>
        <v>0.000521465024563741</v>
      </c>
      <c r="F948" s="3" t="n">
        <f aca="false">F$8*F$10*(1-EXP(-2*$C948/SQRT(PI()*F$9*F$10)))</f>
        <v>0.000521451693488034</v>
      </c>
      <c r="G948" s="3" t="n">
        <f aca="false">G$8*G$10*(1-EXP(-2*$C948/SQRT(PI()*G$9*G$10)))</f>
        <v>0.000260732512281871</v>
      </c>
      <c r="H948" s="3" t="n">
        <f aca="false">H$8*H$10*(1-EXP(-2*$C948/SQRT(PI()*H$9*H$10)))</f>
        <v>5.21465194556204E-005</v>
      </c>
    </row>
    <row r="949" customFormat="false" ht="15.75" hidden="false" customHeight="false" outlineLevel="0" collapsed="false">
      <c r="C949" s="0" t="n">
        <v>93.7</v>
      </c>
      <c r="D949" s="3" t="n">
        <f aca="false">D$8*D$10*(1-EXP(-2*$C949/SQRT(PI()*D$9*D$10)))</f>
        <v>0.000521465194556204</v>
      </c>
      <c r="E949" s="3" t="n">
        <f aca="false">E$8*E$10*(1-EXP(-2*$C949/SQRT(PI()*E$9*E$10)))</f>
        <v>0.000521465027254899</v>
      </c>
      <c r="F949" s="3" t="n">
        <f aca="false">F$8*F$10*(1-EXP(-2*$C949/SQRT(PI()*F$9*F$10)))</f>
        <v>0.000521451844974993</v>
      </c>
      <c r="G949" s="3" t="n">
        <f aca="false">G$8*G$10*(1-EXP(-2*$C949/SQRT(PI()*G$9*G$10)))</f>
        <v>0.000260732513627449</v>
      </c>
      <c r="H949" s="3" t="n">
        <f aca="false">H$8*H$10*(1-EXP(-2*$C949/SQRT(PI()*H$9*H$10)))</f>
        <v>5.21465194556204E-005</v>
      </c>
    </row>
    <row r="950" customFormat="false" ht="15.75" hidden="false" customHeight="false" outlineLevel="0" collapsed="false">
      <c r="C950" s="0" t="n">
        <v>93.8</v>
      </c>
      <c r="D950" s="3" t="n">
        <f aca="false">D$8*D$10*(1-EXP(-2*$C950/SQRT(PI()*D$9*D$10)))</f>
        <v>0.000521465194556204</v>
      </c>
      <c r="E950" s="3" t="n">
        <f aca="false">E$8*E$10*(1-EXP(-2*$C950/SQRT(PI()*E$9*E$10)))</f>
        <v>0.000521465029903453</v>
      </c>
      <c r="F950" s="3" t="n">
        <f aca="false">F$8*F$10*(1-EXP(-2*$C950/SQRT(PI()*F$9*F$10)))</f>
        <v>0.000521451994762214</v>
      </c>
      <c r="G950" s="3" t="n">
        <f aca="false">G$8*G$10*(1-EXP(-2*$C950/SQRT(PI()*G$9*G$10)))</f>
        <v>0.000260732514951726</v>
      </c>
      <c r="H950" s="3" t="n">
        <f aca="false">H$8*H$10*(1-EXP(-2*$C950/SQRT(PI()*H$9*H$10)))</f>
        <v>5.21465194556204E-005</v>
      </c>
    </row>
    <row r="951" customFormat="false" ht="15.75" hidden="false" customHeight="false" outlineLevel="0" collapsed="false">
      <c r="C951" s="0" t="n">
        <v>93.9</v>
      </c>
      <c r="D951" s="3" t="n">
        <f aca="false">D$8*D$10*(1-EXP(-2*$C951/SQRT(PI()*D$9*D$10)))</f>
        <v>0.000521465194556204</v>
      </c>
      <c r="E951" s="3" t="n">
        <f aca="false">E$8*E$10*(1-EXP(-2*$C951/SQRT(PI()*E$9*E$10)))</f>
        <v>0.000521465032510077</v>
      </c>
      <c r="F951" s="3" t="n">
        <f aca="false">F$8*F$10*(1-EXP(-2*$C951/SQRT(PI()*F$9*F$10)))</f>
        <v>0.000521452142868766</v>
      </c>
      <c r="G951" s="3" t="n">
        <f aca="false">G$8*G$10*(1-EXP(-2*$C951/SQRT(PI()*G$9*G$10)))</f>
        <v>0.000260732516255039</v>
      </c>
      <c r="H951" s="3" t="n">
        <f aca="false">H$8*H$10*(1-EXP(-2*$C951/SQRT(PI()*H$9*H$10)))</f>
        <v>5.21465194556204E-005</v>
      </c>
    </row>
    <row r="952" customFormat="false" ht="15.75" hidden="false" customHeight="false" outlineLevel="0" collapsed="false">
      <c r="C952" s="0" t="n">
        <v>94</v>
      </c>
      <c r="D952" s="3" t="n">
        <f aca="false">D$8*D$10*(1-EXP(-2*$C952/SQRT(PI()*D$9*D$10)))</f>
        <v>0.000521465194556204</v>
      </c>
      <c r="E952" s="3" t="n">
        <f aca="false">E$8*E$10*(1-EXP(-2*$C952/SQRT(PI()*E$9*E$10)))</f>
        <v>0.000521465035075437</v>
      </c>
      <c r="F952" s="3" t="n">
        <f aca="false">F$8*F$10*(1-EXP(-2*$C952/SQRT(PI()*F$9*F$10)))</f>
        <v>0.000521452289313508</v>
      </c>
      <c r="G952" s="3" t="n">
        <f aca="false">G$8*G$10*(1-EXP(-2*$C952/SQRT(PI()*G$9*G$10)))</f>
        <v>0.000260732517537718</v>
      </c>
      <c r="H952" s="3" t="n">
        <f aca="false">H$8*H$10*(1-EXP(-2*$C952/SQRT(PI()*H$9*H$10)))</f>
        <v>5.21465194556204E-005</v>
      </c>
    </row>
    <row r="953" customFormat="false" ht="15.75" hidden="false" customHeight="false" outlineLevel="0" collapsed="false">
      <c r="C953" s="0" t="n">
        <v>94.1</v>
      </c>
      <c r="D953" s="3" t="n">
        <f aca="false">D$8*D$10*(1-EXP(-2*$C953/SQRT(PI()*D$9*D$10)))</f>
        <v>0.000521465194556204</v>
      </c>
      <c r="E953" s="3" t="n">
        <f aca="false">E$8*E$10*(1-EXP(-2*$C953/SQRT(PI()*E$9*E$10)))</f>
        <v>0.000521465037600183</v>
      </c>
      <c r="F953" s="3" t="n">
        <f aca="false">F$8*F$10*(1-EXP(-2*$C953/SQRT(PI()*F$9*F$10)))</f>
        <v>0.000521452434115086</v>
      </c>
      <c r="G953" s="3" t="n">
        <f aca="false">G$8*G$10*(1-EXP(-2*$C953/SQRT(PI()*G$9*G$10)))</f>
        <v>0.000260732518800092</v>
      </c>
      <c r="H953" s="3" t="n">
        <f aca="false">H$8*H$10*(1-EXP(-2*$C953/SQRT(PI()*H$9*H$10)))</f>
        <v>5.21465194556204E-005</v>
      </c>
    </row>
    <row r="954" customFormat="false" ht="15.75" hidden="false" customHeight="false" outlineLevel="0" collapsed="false">
      <c r="C954" s="0" t="n">
        <v>94.2</v>
      </c>
      <c r="D954" s="3" t="n">
        <f aca="false">D$8*D$10*(1-EXP(-2*$C954/SQRT(PI()*D$9*D$10)))</f>
        <v>0.000521465194556204</v>
      </c>
      <c r="E954" s="3" t="n">
        <f aca="false">E$8*E$10*(1-EXP(-2*$C954/SQRT(PI()*E$9*E$10)))</f>
        <v>0.000521465040084961</v>
      </c>
      <c r="F954" s="3" t="n">
        <f aca="false">F$8*F$10*(1-EXP(-2*$C954/SQRT(PI()*F$9*F$10)))</f>
        <v>0.000521452577291938</v>
      </c>
      <c r="G954" s="3" t="n">
        <f aca="false">G$8*G$10*(1-EXP(-2*$C954/SQRT(PI()*G$9*G$10)))</f>
        <v>0.00026073252004248</v>
      </c>
      <c r="H954" s="3" t="n">
        <f aca="false">H$8*H$10*(1-EXP(-2*$C954/SQRT(PI()*H$9*H$10)))</f>
        <v>5.21465194556204E-005</v>
      </c>
    </row>
    <row r="955" customFormat="false" ht="15.75" hidden="false" customHeight="false" outlineLevel="0" collapsed="false">
      <c r="C955" s="0" t="n">
        <v>94.3</v>
      </c>
      <c r="D955" s="3" t="n">
        <f aca="false">D$8*D$10*(1-EXP(-2*$C955/SQRT(PI()*D$9*D$10)))</f>
        <v>0.000521465194556204</v>
      </c>
      <c r="E955" s="3" t="n">
        <f aca="false">E$8*E$10*(1-EXP(-2*$C955/SQRT(PI()*E$9*E$10)))</f>
        <v>0.000521465042530401</v>
      </c>
      <c r="F955" s="3" t="n">
        <f aca="false">F$8*F$10*(1-EXP(-2*$C955/SQRT(PI()*F$9*F$10)))</f>
        <v>0.000521452718862292</v>
      </c>
      <c r="G955" s="3" t="n">
        <f aca="false">G$8*G$10*(1-EXP(-2*$C955/SQRT(PI()*G$9*G$10)))</f>
        <v>0.000260732521265201</v>
      </c>
      <c r="H955" s="3" t="n">
        <f aca="false">H$8*H$10*(1-EXP(-2*$C955/SQRT(PI()*H$9*H$10)))</f>
        <v>5.21465194556204E-005</v>
      </c>
    </row>
    <row r="956" customFormat="false" ht="15.75" hidden="false" customHeight="false" outlineLevel="0" collapsed="false">
      <c r="C956" s="0" t="n">
        <v>94.4</v>
      </c>
      <c r="D956" s="3" t="n">
        <f aca="false">D$8*D$10*(1-EXP(-2*$C956/SQRT(PI()*D$9*D$10)))</f>
        <v>0.000521465194556204</v>
      </c>
      <c r="E956" s="3" t="n">
        <f aca="false">E$8*E$10*(1-EXP(-2*$C956/SQRT(PI()*E$9*E$10)))</f>
        <v>0.000521465044937128</v>
      </c>
      <c r="F956" s="3" t="n">
        <f aca="false">F$8*F$10*(1-EXP(-2*$C956/SQRT(PI()*F$9*F$10)))</f>
        <v>0.000521452858844174</v>
      </c>
      <c r="G956" s="3" t="n">
        <f aca="false">G$8*G$10*(1-EXP(-2*$C956/SQRT(PI()*G$9*G$10)))</f>
        <v>0.000260732522468564</v>
      </c>
      <c r="H956" s="3" t="n">
        <f aca="false">H$8*H$10*(1-EXP(-2*$C956/SQRT(PI()*H$9*H$10)))</f>
        <v>5.21465194556204E-005</v>
      </c>
    </row>
    <row r="957" customFormat="false" ht="15.75" hidden="false" customHeight="false" outlineLevel="0" collapsed="false">
      <c r="C957" s="0" t="n">
        <v>94.5</v>
      </c>
      <c r="D957" s="3" t="n">
        <f aca="false">D$8*D$10*(1-EXP(-2*$C957/SQRT(PI()*D$9*D$10)))</f>
        <v>0.000521465194556204</v>
      </c>
      <c r="E957" s="3" t="n">
        <f aca="false">E$8*E$10*(1-EXP(-2*$C957/SQRT(PI()*E$9*E$10)))</f>
        <v>0.000521465047305754</v>
      </c>
      <c r="F957" s="3" t="n">
        <f aca="false">F$8*F$10*(1-EXP(-2*$C957/SQRT(PI()*F$9*F$10)))</f>
        <v>0.000521452997255409</v>
      </c>
      <c r="G957" s="3" t="n">
        <f aca="false">G$8*G$10*(1-EXP(-2*$C957/SQRT(PI()*G$9*G$10)))</f>
        <v>0.000260732523652877</v>
      </c>
      <c r="H957" s="3" t="n">
        <f aca="false">H$8*H$10*(1-EXP(-2*$C957/SQRT(PI()*H$9*H$10)))</f>
        <v>5.21465194556205E-005</v>
      </c>
    </row>
    <row r="958" customFormat="false" ht="15.75" hidden="false" customHeight="false" outlineLevel="0" collapsed="false">
      <c r="C958" s="0" t="n">
        <v>94.6</v>
      </c>
      <c r="D958" s="3" t="n">
        <f aca="false">D$8*D$10*(1-EXP(-2*$C958/SQRT(PI()*D$9*D$10)))</f>
        <v>0.000521465194556204</v>
      </c>
      <c r="E958" s="3" t="n">
        <f aca="false">E$8*E$10*(1-EXP(-2*$C958/SQRT(PI()*E$9*E$10)))</f>
        <v>0.000521465049636882</v>
      </c>
      <c r="F958" s="3" t="n">
        <f aca="false">F$8*F$10*(1-EXP(-2*$C958/SQRT(PI()*F$9*F$10)))</f>
        <v>0.000521453134113618</v>
      </c>
      <c r="G958" s="3" t="n">
        <f aca="false">G$8*G$10*(1-EXP(-2*$C958/SQRT(PI()*G$9*G$10)))</f>
        <v>0.000260732524818441</v>
      </c>
      <c r="H958" s="3" t="n">
        <f aca="false">H$8*H$10*(1-EXP(-2*$C958/SQRT(PI()*H$9*H$10)))</f>
        <v>5.21465194556205E-005</v>
      </c>
    </row>
    <row r="959" customFormat="false" ht="15.75" hidden="false" customHeight="false" outlineLevel="0" collapsed="false">
      <c r="C959" s="0" t="n">
        <v>94.7</v>
      </c>
      <c r="D959" s="3" t="n">
        <f aca="false">D$8*D$10*(1-EXP(-2*$C959/SQRT(PI()*D$9*D$10)))</f>
        <v>0.000521465194556205</v>
      </c>
      <c r="E959" s="3" t="n">
        <f aca="false">E$8*E$10*(1-EXP(-2*$C959/SQRT(PI()*E$9*E$10)))</f>
        <v>0.000521465051931106</v>
      </c>
      <c r="F959" s="3" t="n">
        <f aca="false">F$8*F$10*(1-EXP(-2*$C959/SQRT(PI()*F$9*F$10)))</f>
        <v>0.000521453269436228</v>
      </c>
      <c r="G959" s="3" t="n">
        <f aca="false">G$8*G$10*(1-EXP(-2*$C959/SQRT(PI()*G$9*G$10)))</f>
        <v>0.000260732525965553</v>
      </c>
      <c r="H959" s="3" t="n">
        <f aca="false">H$8*H$10*(1-EXP(-2*$C959/SQRT(PI()*H$9*H$10)))</f>
        <v>5.21465194556205E-005</v>
      </c>
    </row>
    <row r="960" customFormat="false" ht="15.75" hidden="false" customHeight="false" outlineLevel="0" collapsed="false">
      <c r="C960" s="0" t="n">
        <v>94.8</v>
      </c>
      <c r="D960" s="3" t="n">
        <f aca="false">D$8*D$10*(1-EXP(-2*$C960/SQRT(PI()*D$9*D$10)))</f>
        <v>0.000521465194556205</v>
      </c>
      <c r="E960" s="3" t="n">
        <f aca="false">E$8*E$10*(1-EXP(-2*$C960/SQRT(PI()*E$9*E$10)))</f>
        <v>0.00052146505418901</v>
      </c>
      <c r="F960" s="3" t="n">
        <f aca="false">F$8*F$10*(1-EXP(-2*$C960/SQRT(PI()*F$9*F$10)))</f>
        <v>0.000521453403240468</v>
      </c>
      <c r="G960" s="3" t="n">
        <f aca="false">G$8*G$10*(1-EXP(-2*$C960/SQRT(PI()*G$9*G$10)))</f>
        <v>0.000260732527094505</v>
      </c>
      <c r="H960" s="3" t="n">
        <f aca="false">H$8*H$10*(1-EXP(-2*$C960/SQRT(PI()*H$9*H$10)))</f>
        <v>5.21465194556205E-005</v>
      </c>
    </row>
    <row r="961" customFormat="false" ht="15.75" hidden="false" customHeight="false" outlineLevel="0" collapsed="false">
      <c r="C961" s="0" t="n">
        <v>94.9</v>
      </c>
      <c r="D961" s="3" t="n">
        <f aca="false">D$8*D$10*(1-EXP(-2*$C961/SQRT(PI()*D$9*D$10)))</f>
        <v>0.000521465194556205</v>
      </c>
      <c r="E961" s="3" t="n">
        <f aca="false">E$8*E$10*(1-EXP(-2*$C961/SQRT(PI()*E$9*E$10)))</f>
        <v>0.000521465056411169</v>
      </c>
      <c r="F961" s="3" t="n">
        <f aca="false">F$8*F$10*(1-EXP(-2*$C961/SQRT(PI()*F$9*F$10)))</f>
        <v>0.000521453535543375</v>
      </c>
      <c r="G961" s="3" t="n">
        <f aca="false">G$8*G$10*(1-EXP(-2*$C961/SQRT(PI()*G$9*G$10)))</f>
        <v>0.000260732528205584</v>
      </c>
      <c r="H961" s="3" t="n">
        <f aca="false">H$8*H$10*(1-EXP(-2*$C961/SQRT(PI()*H$9*H$10)))</f>
        <v>5.21465194556205E-005</v>
      </c>
    </row>
    <row r="962" customFormat="false" ht="15.75" hidden="false" customHeight="false" outlineLevel="0" collapsed="false">
      <c r="C962" s="0" t="n">
        <v>95</v>
      </c>
      <c r="D962" s="3" t="n">
        <f aca="false">D$8*D$10*(1-EXP(-2*$C962/SQRT(PI()*D$9*D$10)))</f>
        <v>0.000521465194556205</v>
      </c>
      <c r="E962" s="3" t="n">
        <f aca="false">E$8*E$10*(1-EXP(-2*$C962/SQRT(PI()*E$9*E$10)))</f>
        <v>0.000521465058598149</v>
      </c>
      <c r="F962" s="3" t="n">
        <f aca="false">F$8*F$10*(1-EXP(-2*$C962/SQRT(PI()*F$9*F$10)))</f>
        <v>0.000521453666361795</v>
      </c>
      <c r="G962" s="3" t="n">
        <f aca="false">G$8*G$10*(1-EXP(-2*$C962/SQRT(PI()*G$9*G$10)))</f>
        <v>0.000260732529299074</v>
      </c>
      <c r="H962" s="3" t="n">
        <f aca="false">H$8*H$10*(1-EXP(-2*$C962/SQRT(PI()*H$9*H$10)))</f>
        <v>5.21465194556205E-005</v>
      </c>
    </row>
    <row r="963" customFormat="false" ht="15.75" hidden="false" customHeight="false" outlineLevel="0" collapsed="false">
      <c r="C963" s="0" t="n">
        <v>95.1</v>
      </c>
      <c r="D963" s="3" t="n">
        <f aca="false">D$8*D$10*(1-EXP(-2*$C963/SQRT(PI()*D$9*D$10)))</f>
        <v>0.000521465194556205</v>
      </c>
      <c r="E963" s="3" t="n">
        <f aca="false">E$8*E$10*(1-EXP(-2*$C963/SQRT(PI()*E$9*E$10)))</f>
        <v>0.000521465060750506</v>
      </c>
      <c r="F963" s="3" t="n">
        <f aca="false">F$8*F$10*(1-EXP(-2*$C963/SQRT(PI()*F$9*F$10)))</f>
        <v>0.000521453795712384</v>
      </c>
      <c r="G963" s="3" t="n">
        <f aca="false">G$8*G$10*(1-EXP(-2*$C963/SQRT(PI()*G$9*G$10)))</f>
        <v>0.000260732530375253</v>
      </c>
      <c r="H963" s="3" t="n">
        <f aca="false">H$8*H$10*(1-EXP(-2*$C963/SQRT(PI()*H$9*H$10)))</f>
        <v>5.21465194556205E-005</v>
      </c>
    </row>
    <row r="964" customFormat="false" ht="15.75" hidden="false" customHeight="false" outlineLevel="0" collapsed="false">
      <c r="C964" s="0" t="n">
        <v>95.2</v>
      </c>
      <c r="D964" s="3" t="n">
        <f aca="false">D$8*D$10*(1-EXP(-2*$C964/SQRT(PI()*D$9*D$10)))</f>
        <v>0.000521465194556205</v>
      </c>
      <c r="E964" s="3" t="n">
        <f aca="false">E$8*E$10*(1-EXP(-2*$C964/SQRT(PI()*E$9*E$10)))</f>
        <v>0.00052146506286879</v>
      </c>
      <c r="F964" s="3" t="n">
        <f aca="false">F$8*F$10*(1-EXP(-2*$C964/SQRT(PI()*F$9*F$10)))</f>
        <v>0.000521453923611612</v>
      </c>
      <c r="G964" s="3" t="n">
        <f aca="false">G$8*G$10*(1-EXP(-2*$C964/SQRT(PI()*G$9*G$10)))</f>
        <v>0.000260732531434395</v>
      </c>
      <c r="H964" s="3" t="n">
        <f aca="false">H$8*H$10*(1-EXP(-2*$C964/SQRT(PI()*H$9*H$10)))</f>
        <v>5.21465194556205E-005</v>
      </c>
    </row>
    <row r="965" customFormat="false" ht="15.75" hidden="false" customHeight="false" outlineLevel="0" collapsed="false">
      <c r="C965" s="0" t="n">
        <v>95.3</v>
      </c>
      <c r="D965" s="3" t="n">
        <f aca="false">D$8*D$10*(1-EXP(-2*$C965/SQRT(PI()*D$9*D$10)))</f>
        <v>0.000521465194556205</v>
      </c>
      <c r="E965" s="3" t="n">
        <f aca="false">E$8*E$10*(1-EXP(-2*$C965/SQRT(PI()*E$9*E$10)))</f>
        <v>0.000521465064953539</v>
      </c>
      <c r="F965" s="3" t="n">
        <f aca="false">F$8*F$10*(1-EXP(-2*$C965/SQRT(PI()*F$9*F$10)))</f>
        <v>0.000521454050075763</v>
      </c>
      <c r="G965" s="3" t="n">
        <f aca="false">G$8*G$10*(1-EXP(-2*$C965/SQRT(PI()*G$9*G$10)))</f>
        <v>0.000260732532476769</v>
      </c>
      <c r="H965" s="3" t="n">
        <f aca="false">H$8*H$10*(1-EXP(-2*$C965/SQRT(PI()*H$9*H$10)))</f>
        <v>5.21465194556205E-005</v>
      </c>
    </row>
    <row r="966" customFormat="false" ht="15.75" hidden="false" customHeight="false" outlineLevel="0" collapsed="false">
      <c r="C966" s="0" t="n">
        <v>95.4</v>
      </c>
      <c r="D966" s="3" t="n">
        <f aca="false">D$8*D$10*(1-EXP(-2*$C966/SQRT(PI()*D$9*D$10)))</f>
        <v>0.000521465194556205</v>
      </c>
      <c r="E966" s="3" t="n">
        <f aca="false">E$8*E$10*(1-EXP(-2*$C966/SQRT(PI()*E$9*E$10)))</f>
        <v>0.000521465067005284</v>
      </c>
      <c r="F966" s="3" t="n">
        <f aca="false">F$8*F$10*(1-EXP(-2*$C966/SQRT(PI()*F$9*F$10)))</f>
        <v>0.00052145417512094</v>
      </c>
      <c r="G966" s="3" t="n">
        <f aca="false">G$8*G$10*(1-EXP(-2*$C966/SQRT(PI()*G$9*G$10)))</f>
        <v>0.000260732533502642</v>
      </c>
      <c r="H966" s="3" t="n">
        <f aca="false">H$8*H$10*(1-EXP(-2*$C966/SQRT(PI()*H$9*H$10)))</f>
        <v>5.21465194556205E-005</v>
      </c>
    </row>
    <row r="967" customFormat="false" ht="15.75" hidden="false" customHeight="false" outlineLevel="0" collapsed="false">
      <c r="C967" s="0" t="n">
        <v>95.5</v>
      </c>
      <c r="D967" s="3" t="n">
        <f aca="false">D$8*D$10*(1-EXP(-2*$C967/SQRT(PI()*D$9*D$10)))</f>
        <v>0.000521465194556205</v>
      </c>
      <c r="E967" s="3" t="n">
        <f aca="false">E$8*E$10*(1-EXP(-2*$C967/SQRT(PI()*E$9*E$10)))</f>
        <v>0.000521465069024548</v>
      </c>
      <c r="F967" s="3" t="n">
        <f aca="false">F$8*F$10*(1-EXP(-2*$C967/SQRT(PI()*F$9*F$10)))</f>
        <v>0.000521454298763064</v>
      </c>
      <c r="G967" s="3" t="n">
        <f aca="false">G$8*G$10*(1-EXP(-2*$C967/SQRT(PI()*G$9*G$10)))</f>
        <v>0.000260732534512274</v>
      </c>
      <c r="H967" s="3" t="n">
        <f aca="false">H$8*H$10*(1-EXP(-2*$C967/SQRT(PI()*H$9*H$10)))</f>
        <v>5.21465194556205E-005</v>
      </c>
    </row>
    <row r="968" customFormat="false" ht="15.75" hidden="false" customHeight="false" outlineLevel="0" collapsed="false">
      <c r="C968" s="0" t="n">
        <v>95.6</v>
      </c>
      <c r="D968" s="3" t="n">
        <f aca="false">D$8*D$10*(1-EXP(-2*$C968/SQRT(PI()*D$9*D$10)))</f>
        <v>0.000521465194556205</v>
      </c>
      <c r="E968" s="3" t="n">
        <f aca="false">E$8*E$10*(1-EXP(-2*$C968/SQRT(PI()*E$9*E$10)))</f>
        <v>0.000521465071011845</v>
      </c>
      <c r="F968" s="3" t="n">
        <f aca="false">F$8*F$10*(1-EXP(-2*$C968/SQRT(PI()*F$9*F$10)))</f>
        <v>0.000521454421017878</v>
      </c>
      <c r="G968" s="3" t="n">
        <f aca="false">G$8*G$10*(1-EXP(-2*$C968/SQRT(PI()*G$9*G$10)))</f>
        <v>0.000260732535505923</v>
      </c>
      <c r="H968" s="3" t="n">
        <f aca="false">H$8*H$10*(1-EXP(-2*$C968/SQRT(PI()*H$9*H$10)))</f>
        <v>5.21465194556205E-005</v>
      </c>
    </row>
    <row r="969" customFormat="false" ht="15.75" hidden="false" customHeight="false" outlineLevel="0" collapsed="false">
      <c r="C969" s="0" t="n">
        <v>95.7</v>
      </c>
      <c r="D969" s="3" t="n">
        <f aca="false">D$8*D$10*(1-EXP(-2*$C969/SQRT(PI()*D$9*D$10)))</f>
        <v>0.000521465194556205</v>
      </c>
      <c r="E969" s="3" t="n">
        <f aca="false">E$8*E$10*(1-EXP(-2*$C969/SQRT(PI()*E$9*E$10)))</f>
        <v>0.000521465072967681</v>
      </c>
      <c r="F969" s="3" t="n">
        <f aca="false">F$8*F$10*(1-EXP(-2*$C969/SQRT(PI()*F$9*F$10)))</f>
        <v>0.000521454541900948</v>
      </c>
      <c r="G969" s="3" t="n">
        <f aca="false">G$8*G$10*(1-EXP(-2*$C969/SQRT(PI()*G$9*G$10)))</f>
        <v>0.000260732536483841</v>
      </c>
      <c r="H969" s="3" t="n">
        <f aca="false">H$8*H$10*(1-EXP(-2*$C969/SQRT(PI()*H$9*H$10)))</f>
        <v>5.21465194556205E-005</v>
      </c>
    </row>
    <row r="970" customFormat="false" ht="15.75" hidden="false" customHeight="false" outlineLevel="0" collapsed="false">
      <c r="C970" s="0" t="n">
        <v>95.8</v>
      </c>
      <c r="D970" s="3" t="n">
        <f aca="false">D$8*D$10*(1-EXP(-2*$C970/SQRT(PI()*D$9*D$10)))</f>
        <v>0.000521465194556205</v>
      </c>
      <c r="E970" s="3" t="n">
        <f aca="false">E$8*E$10*(1-EXP(-2*$C970/SQRT(PI()*E$9*E$10)))</f>
        <v>0.000521465074892554</v>
      </c>
      <c r="F970" s="3" t="n">
        <f aca="false">F$8*F$10*(1-EXP(-2*$C970/SQRT(PI()*F$9*F$10)))</f>
        <v>0.000521454661427665</v>
      </c>
      <c r="G970" s="3" t="n">
        <f aca="false">G$8*G$10*(1-EXP(-2*$C970/SQRT(PI()*G$9*G$10)))</f>
        <v>0.000260732537446277</v>
      </c>
      <c r="H970" s="3" t="n">
        <f aca="false">H$8*H$10*(1-EXP(-2*$C970/SQRT(PI()*H$9*H$10)))</f>
        <v>5.21465194556205E-005</v>
      </c>
    </row>
    <row r="971" customFormat="false" ht="15.75" hidden="false" customHeight="false" outlineLevel="0" collapsed="false">
      <c r="C971" s="0" t="n">
        <v>95.9</v>
      </c>
      <c r="D971" s="3" t="n">
        <f aca="false">D$8*D$10*(1-EXP(-2*$C971/SQRT(PI()*D$9*D$10)))</f>
        <v>0.000521465194556205</v>
      </c>
      <c r="E971" s="3" t="n">
        <f aca="false">E$8*E$10*(1-EXP(-2*$C971/SQRT(PI()*E$9*E$10)))</f>
        <v>0.000521465076786954</v>
      </c>
      <c r="F971" s="3" t="n">
        <f aca="false">F$8*F$10*(1-EXP(-2*$C971/SQRT(PI()*F$9*F$10)))</f>
        <v>0.000521454779613248</v>
      </c>
      <c r="G971" s="3" t="n">
        <f aca="false">G$8*G$10*(1-EXP(-2*$C971/SQRT(PI()*G$9*G$10)))</f>
        <v>0.000260732538393477</v>
      </c>
      <c r="H971" s="3" t="n">
        <f aca="false">H$8*H$10*(1-EXP(-2*$C971/SQRT(PI()*H$9*H$10)))</f>
        <v>5.21465194556205E-005</v>
      </c>
    </row>
    <row r="972" customFormat="false" ht="15.75" hidden="false" customHeight="false" outlineLevel="0" collapsed="false">
      <c r="C972" s="0" t="n">
        <v>96</v>
      </c>
      <c r="D972" s="3" t="n">
        <f aca="false">D$8*D$10*(1-EXP(-2*$C972/SQRT(PI()*D$9*D$10)))</f>
        <v>0.000521465194556205</v>
      </c>
      <c r="E972" s="3" t="n">
        <f aca="false">E$8*E$10*(1-EXP(-2*$C972/SQRT(PI()*E$9*E$10)))</f>
        <v>0.000521465078651364</v>
      </c>
      <c r="F972" s="3" t="n">
        <f aca="false">F$8*F$10*(1-EXP(-2*$C972/SQRT(PI()*F$9*F$10)))</f>
        <v>0.000521454896472746</v>
      </c>
      <c r="G972" s="3" t="n">
        <f aca="false">G$8*G$10*(1-EXP(-2*$C972/SQRT(PI()*G$9*G$10)))</f>
        <v>0.000260732539325682</v>
      </c>
      <c r="H972" s="3" t="n">
        <f aca="false">H$8*H$10*(1-EXP(-2*$C972/SQRT(PI()*H$9*H$10)))</f>
        <v>5.21465194556205E-005</v>
      </c>
    </row>
    <row r="973" customFormat="false" ht="15.75" hidden="false" customHeight="false" outlineLevel="0" collapsed="false">
      <c r="C973" s="0" t="n">
        <v>96.1</v>
      </c>
      <c r="D973" s="3" t="n">
        <f aca="false">D$8*D$10*(1-EXP(-2*$C973/SQRT(PI()*D$9*D$10)))</f>
        <v>0.000521465194556205</v>
      </c>
      <c r="E973" s="3" t="n">
        <f aca="false">E$8*E$10*(1-EXP(-2*$C973/SQRT(PI()*E$9*E$10)))</f>
        <v>0.000521465080486259</v>
      </c>
      <c r="F973" s="3" t="n">
        <f aca="false">F$8*F$10*(1-EXP(-2*$C973/SQRT(PI()*F$9*F$10)))</f>
        <v>0.000521455012021037</v>
      </c>
      <c r="G973" s="3" t="n">
        <f aca="false">G$8*G$10*(1-EXP(-2*$C973/SQRT(PI()*G$9*G$10)))</f>
        <v>0.000260732540243129</v>
      </c>
      <c r="H973" s="3" t="n">
        <f aca="false">H$8*H$10*(1-EXP(-2*$C973/SQRT(PI()*H$9*H$10)))</f>
        <v>5.21465194556205E-005</v>
      </c>
    </row>
    <row r="974" customFormat="false" ht="15.75" hidden="false" customHeight="false" outlineLevel="0" collapsed="false">
      <c r="C974" s="0" t="n">
        <v>96.2</v>
      </c>
      <c r="D974" s="3" t="n">
        <f aca="false">D$8*D$10*(1-EXP(-2*$C974/SQRT(PI()*D$9*D$10)))</f>
        <v>0.000521465194556205</v>
      </c>
      <c r="E974" s="3" t="n">
        <f aca="false">E$8*E$10*(1-EXP(-2*$C974/SQRT(PI()*E$9*E$10)))</f>
        <v>0.000521465082292105</v>
      </c>
      <c r="F974" s="3" t="n">
        <f aca="false">F$8*F$10*(1-EXP(-2*$C974/SQRT(PI()*F$9*F$10)))</f>
        <v>0.000521455126272833</v>
      </c>
      <c r="G974" s="3" t="n">
        <f aca="false">G$8*G$10*(1-EXP(-2*$C974/SQRT(PI()*G$9*G$10)))</f>
        <v>0.000260732541146052</v>
      </c>
      <c r="H974" s="3" t="n">
        <f aca="false">H$8*H$10*(1-EXP(-2*$C974/SQRT(PI()*H$9*H$10)))</f>
        <v>5.21465194556205E-005</v>
      </c>
    </row>
    <row r="975" customFormat="false" ht="15.75" hidden="false" customHeight="false" outlineLevel="0" collapsed="false">
      <c r="C975" s="0" t="n">
        <v>96.3</v>
      </c>
      <c r="D975" s="3" t="n">
        <f aca="false">D$8*D$10*(1-EXP(-2*$C975/SQRT(PI()*D$9*D$10)))</f>
        <v>0.000521465194556205</v>
      </c>
      <c r="E975" s="3" t="n">
        <f aca="false">E$8*E$10*(1-EXP(-2*$C975/SQRT(PI()*E$9*E$10)))</f>
        <v>0.000521465084069363</v>
      </c>
      <c r="F975" s="3" t="n">
        <f aca="false">F$8*F$10*(1-EXP(-2*$C975/SQRT(PI()*F$9*F$10)))</f>
        <v>0.000521455239242683</v>
      </c>
      <c r="G975" s="3" t="n">
        <f aca="false">G$8*G$10*(1-EXP(-2*$C975/SQRT(PI()*G$9*G$10)))</f>
        <v>0.000260732542034681</v>
      </c>
      <c r="H975" s="3" t="n">
        <f aca="false">H$8*H$10*(1-EXP(-2*$C975/SQRT(PI()*H$9*H$10)))</f>
        <v>5.21465194556205E-005</v>
      </c>
    </row>
    <row r="976" customFormat="false" ht="15.75" hidden="false" customHeight="false" outlineLevel="0" collapsed="false">
      <c r="C976" s="0" t="n">
        <v>96.4</v>
      </c>
      <c r="D976" s="3" t="n">
        <f aca="false">D$8*D$10*(1-EXP(-2*$C976/SQRT(PI()*D$9*D$10)))</f>
        <v>0.000521465194556205</v>
      </c>
      <c r="E976" s="3" t="n">
        <f aca="false">E$8*E$10*(1-EXP(-2*$C976/SQRT(PI()*E$9*E$10)))</f>
        <v>0.000521465085818484</v>
      </c>
      <c r="F976" s="3" t="n">
        <f aca="false">F$8*F$10*(1-EXP(-2*$C976/SQRT(PI()*F$9*F$10)))</f>
        <v>0.000521455350944969</v>
      </c>
      <c r="G976" s="3" t="n">
        <f aca="false">G$8*G$10*(1-EXP(-2*$C976/SQRT(PI()*G$9*G$10)))</f>
        <v>0.000260732542909242</v>
      </c>
      <c r="H976" s="3" t="n">
        <f aca="false">H$8*H$10*(1-EXP(-2*$C976/SQRT(PI()*H$9*H$10)))</f>
        <v>5.21465194556205E-005</v>
      </c>
    </row>
    <row r="977" customFormat="false" ht="15.75" hidden="false" customHeight="false" outlineLevel="0" collapsed="false">
      <c r="C977" s="0" t="n">
        <v>96.5</v>
      </c>
      <c r="D977" s="3" t="n">
        <f aca="false">D$8*D$10*(1-EXP(-2*$C977/SQRT(PI()*D$9*D$10)))</f>
        <v>0.000521465194556205</v>
      </c>
      <c r="E977" s="3" t="n">
        <f aca="false">E$8*E$10*(1-EXP(-2*$C977/SQRT(PI()*E$9*E$10)))</f>
        <v>0.000521465087539916</v>
      </c>
      <c r="F977" s="3" t="n">
        <f aca="false">F$8*F$10*(1-EXP(-2*$C977/SQRT(PI()*F$9*F$10)))</f>
        <v>0.000521455461393914</v>
      </c>
      <c r="G977" s="3" t="n">
        <f aca="false">G$8*G$10*(1-EXP(-2*$C977/SQRT(PI()*G$9*G$10)))</f>
        <v>0.000260732543769958</v>
      </c>
      <c r="H977" s="3" t="n">
        <f aca="false">H$8*H$10*(1-EXP(-2*$C977/SQRT(PI()*H$9*H$10)))</f>
        <v>5.21465194556205E-005</v>
      </c>
    </row>
    <row r="978" customFormat="false" ht="15.75" hidden="false" customHeight="false" outlineLevel="0" collapsed="false">
      <c r="C978" s="0" t="n">
        <v>96.6</v>
      </c>
      <c r="D978" s="3" t="n">
        <f aca="false">D$8*D$10*(1-EXP(-2*$C978/SQRT(PI()*D$9*D$10)))</f>
        <v>0.000521465194556205</v>
      </c>
      <c r="E978" s="3" t="n">
        <f aca="false">E$8*E$10*(1-EXP(-2*$C978/SQRT(PI()*E$9*E$10)))</f>
        <v>0.000521465089234095</v>
      </c>
      <c r="F978" s="3" t="n">
        <f aca="false">F$8*F$10*(1-EXP(-2*$C978/SQRT(PI()*F$9*F$10)))</f>
        <v>0.000521455570603581</v>
      </c>
      <c r="G978" s="3" t="n">
        <f aca="false">G$8*G$10*(1-EXP(-2*$C978/SQRT(PI()*G$9*G$10)))</f>
        <v>0.000260732544617048</v>
      </c>
      <c r="H978" s="3" t="n">
        <f aca="false">H$8*H$10*(1-EXP(-2*$C978/SQRT(PI()*H$9*H$10)))</f>
        <v>5.21465194556205E-005</v>
      </c>
    </row>
    <row r="979" customFormat="false" ht="15.75" hidden="false" customHeight="false" outlineLevel="0" collapsed="false">
      <c r="C979" s="0" t="n">
        <v>96.7</v>
      </c>
      <c r="D979" s="3" t="n">
        <f aca="false">D$8*D$10*(1-EXP(-2*$C979/SQRT(PI()*D$9*D$10)))</f>
        <v>0.000521465194556205</v>
      </c>
      <c r="E979" s="3" t="n">
        <f aca="false">E$8*E$10*(1-EXP(-2*$C979/SQRT(PI()*E$9*E$10)))</f>
        <v>0.000521465090901454</v>
      </c>
      <c r="F979" s="3" t="n">
        <f aca="false">F$8*F$10*(1-EXP(-2*$C979/SQRT(PI()*F$9*F$10)))</f>
        <v>0.000521455678587876</v>
      </c>
      <c r="G979" s="3" t="n">
        <f aca="false">G$8*G$10*(1-EXP(-2*$C979/SQRT(PI()*G$9*G$10)))</f>
        <v>0.000260732545450727</v>
      </c>
      <c r="H979" s="3" t="n">
        <f aca="false">H$8*H$10*(1-EXP(-2*$C979/SQRT(PI()*H$9*H$10)))</f>
        <v>5.21465194556205E-005</v>
      </c>
    </row>
    <row r="980" customFormat="false" ht="15.75" hidden="false" customHeight="false" outlineLevel="0" collapsed="false">
      <c r="C980" s="0" t="n">
        <v>96.8</v>
      </c>
      <c r="D980" s="3" t="n">
        <f aca="false">D$8*D$10*(1-EXP(-2*$C980/SQRT(PI()*D$9*D$10)))</f>
        <v>0.000521465194556205</v>
      </c>
      <c r="E980" s="3" t="n">
        <f aca="false">E$8*E$10*(1-EXP(-2*$C980/SQRT(PI()*E$9*E$10)))</f>
        <v>0.000521465092542417</v>
      </c>
      <c r="F980" s="3" t="n">
        <f aca="false">F$8*F$10*(1-EXP(-2*$C980/SQRT(PI()*F$9*F$10)))</f>
        <v>0.000521455785360547</v>
      </c>
      <c r="G980" s="3" t="n">
        <f aca="false">G$8*G$10*(1-EXP(-2*$C980/SQRT(PI()*G$9*G$10)))</f>
        <v>0.000260732546271208</v>
      </c>
      <c r="H980" s="3" t="n">
        <f aca="false">H$8*H$10*(1-EXP(-2*$C980/SQRT(PI()*H$9*H$10)))</f>
        <v>5.21465194556205E-005</v>
      </c>
    </row>
    <row r="981" customFormat="false" ht="15.75" hidden="false" customHeight="false" outlineLevel="0" collapsed="false">
      <c r="C981" s="0" t="n">
        <v>96.9</v>
      </c>
      <c r="D981" s="3" t="n">
        <f aca="false">D$8*D$10*(1-EXP(-2*$C981/SQRT(PI()*D$9*D$10)))</f>
        <v>0.000521465194556205</v>
      </c>
      <c r="E981" s="3" t="n">
        <f aca="false">E$8*E$10*(1-EXP(-2*$C981/SQRT(PI()*E$9*E$10)))</f>
        <v>0.000521465094157401</v>
      </c>
      <c r="F981" s="3" t="n">
        <f aca="false">F$8*F$10*(1-EXP(-2*$C981/SQRT(PI()*F$9*F$10)))</f>
        <v>0.000521455890935189</v>
      </c>
      <c r="G981" s="3" t="n">
        <f aca="false">G$8*G$10*(1-EXP(-2*$C981/SQRT(PI()*G$9*G$10)))</f>
        <v>0.000260732547078701</v>
      </c>
      <c r="H981" s="3" t="n">
        <f aca="false">H$8*H$10*(1-EXP(-2*$C981/SQRT(PI()*H$9*H$10)))</f>
        <v>5.21465194556205E-005</v>
      </c>
    </row>
    <row r="982" customFormat="false" ht="15.75" hidden="false" customHeight="false" outlineLevel="0" collapsed="false">
      <c r="C982" s="0" t="n">
        <v>97</v>
      </c>
      <c r="D982" s="3" t="n">
        <f aca="false">D$8*D$10*(1-EXP(-2*$C982/SQRT(PI()*D$9*D$10)))</f>
        <v>0.000521465194556205</v>
      </c>
      <c r="E982" s="3" t="n">
        <f aca="false">E$8*E$10*(1-EXP(-2*$C982/SQRT(PI()*E$9*E$10)))</f>
        <v>0.000521465095746819</v>
      </c>
      <c r="F982" s="3" t="n">
        <f aca="false">F$8*F$10*(1-EXP(-2*$C982/SQRT(PI()*F$9*F$10)))</f>
        <v>0.000521455995325245</v>
      </c>
      <c r="G982" s="3" t="n">
        <f aca="false">G$8*G$10*(1-EXP(-2*$C982/SQRT(PI()*G$9*G$10)))</f>
        <v>0.000260732547873409</v>
      </c>
      <c r="H982" s="3" t="n">
        <f aca="false">H$8*H$10*(1-EXP(-2*$C982/SQRT(PI()*H$9*H$10)))</f>
        <v>5.21465194556205E-005</v>
      </c>
    </row>
    <row r="983" customFormat="false" ht="15.75" hidden="false" customHeight="false" outlineLevel="0" collapsed="false">
      <c r="C983" s="0" t="n">
        <v>97.1</v>
      </c>
      <c r="D983" s="3" t="n">
        <f aca="false">D$8*D$10*(1-EXP(-2*$C983/SQRT(PI()*D$9*D$10)))</f>
        <v>0.000521465194556205</v>
      </c>
      <c r="E983" s="3" t="n">
        <f aca="false">E$8*E$10*(1-EXP(-2*$C983/SQRT(PI()*E$9*E$10)))</f>
        <v>0.000521465097311074</v>
      </c>
      <c r="F983" s="3" t="n">
        <f aca="false">F$8*F$10*(1-EXP(-2*$C983/SQRT(PI()*F$9*F$10)))</f>
        <v>0.000521456098544006</v>
      </c>
      <c r="G983" s="3" t="n">
        <f aca="false">G$8*G$10*(1-EXP(-2*$C983/SQRT(PI()*G$9*G$10)))</f>
        <v>0.000260732548655537</v>
      </c>
      <c r="H983" s="3" t="n">
        <f aca="false">H$8*H$10*(1-EXP(-2*$C983/SQRT(PI()*H$9*H$10)))</f>
        <v>5.21465194556205E-005</v>
      </c>
    </row>
    <row r="984" customFormat="false" ht="15.75" hidden="false" customHeight="false" outlineLevel="0" collapsed="false">
      <c r="C984" s="0" t="n">
        <v>97.2</v>
      </c>
      <c r="D984" s="3" t="n">
        <f aca="false">D$8*D$10*(1-EXP(-2*$C984/SQRT(PI()*D$9*D$10)))</f>
        <v>0.000521465194556205</v>
      </c>
      <c r="E984" s="3" t="n">
        <f aca="false">E$8*E$10*(1-EXP(-2*$C984/SQRT(PI()*E$9*E$10)))</f>
        <v>0.000521465098850566</v>
      </c>
      <c r="F984" s="3" t="n">
        <f aca="false">F$8*F$10*(1-EXP(-2*$C984/SQRT(PI()*F$9*F$10)))</f>
        <v>0.000521456200604614</v>
      </c>
      <c r="G984" s="3" t="n">
        <f aca="false">G$8*G$10*(1-EXP(-2*$C984/SQRT(PI()*G$9*G$10)))</f>
        <v>0.000260732549425283</v>
      </c>
      <c r="H984" s="3" t="n">
        <f aca="false">H$8*H$10*(1-EXP(-2*$C984/SQRT(PI()*H$9*H$10)))</f>
        <v>5.21465194556205E-005</v>
      </c>
    </row>
    <row r="985" customFormat="false" ht="15.75" hidden="false" customHeight="false" outlineLevel="0" collapsed="false">
      <c r="C985" s="0" t="n">
        <v>97.3</v>
      </c>
      <c r="D985" s="3" t="n">
        <f aca="false">D$8*D$10*(1-EXP(-2*$C985/SQRT(PI()*D$9*D$10)))</f>
        <v>0.000521465194556205</v>
      </c>
      <c r="E985" s="3" t="n">
        <f aca="false">E$8*E$10*(1-EXP(-2*$C985/SQRT(PI()*E$9*E$10)))</f>
        <v>0.000521465100365686</v>
      </c>
      <c r="F985" s="3" t="n">
        <f aca="false">F$8*F$10*(1-EXP(-2*$C985/SQRT(PI()*F$9*F$10)))</f>
        <v>0.000521456301520065</v>
      </c>
      <c r="G985" s="3" t="n">
        <f aca="false">G$8*G$10*(1-EXP(-2*$C985/SQRT(PI()*G$9*G$10)))</f>
        <v>0.000260732550182843</v>
      </c>
      <c r="H985" s="3" t="n">
        <f aca="false">H$8*H$10*(1-EXP(-2*$C985/SQRT(PI()*H$9*H$10)))</f>
        <v>5.21465194556205E-005</v>
      </c>
    </row>
    <row r="986" customFormat="false" ht="15.75" hidden="false" customHeight="false" outlineLevel="0" collapsed="false">
      <c r="C986" s="0" t="n">
        <v>97.4</v>
      </c>
      <c r="D986" s="3" t="n">
        <f aca="false">D$8*D$10*(1-EXP(-2*$C986/SQRT(PI()*D$9*D$10)))</f>
        <v>0.000521465194556205</v>
      </c>
      <c r="E986" s="3" t="n">
        <f aca="false">E$8*E$10*(1-EXP(-2*$C986/SQRT(PI()*E$9*E$10)))</f>
        <v>0.00052146510185682</v>
      </c>
      <c r="F986" s="3" t="n">
        <f aca="false">F$8*F$10*(1-EXP(-2*$C986/SQRT(PI()*F$9*F$10)))</f>
        <v>0.000521456401303208</v>
      </c>
      <c r="G986" s="3" t="n">
        <f aca="false">G$8*G$10*(1-EXP(-2*$C986/SQRT(PI()*G$9*G$10)))</f>
        <v>0.00026073255092841</v>
      </c>
      <c r="H986" s="3" t="n">
        <f aca="false">H$8*H$10*(1-EXP(-2*$C986/SQRT(PI()*H$9*H$10)))</f>
        <v>5.21465194556205E-005</v>
      </c>
    </row>
    <row r="987" customFormat="false" ht="15.75" hidden="false" customHeight="false" outlineLevel="0" collapsed="false">
      <c r="C987" s="0" t="n">
        <v>97.5</v>
      </c>
      <c r="D987" s="3" t="n">
        <f aca="false">D$8*D$10*(1-EXP(-2*$C987/SQRT(PI()*D$9*D$10)))</f>
        <v>0.000521465194556205</v>
      </c>
      <c r="E987" s="3" t="n">
        <f aca="false">E$8*E$10*(1-EXP(-2*$C987/SQRT(PI()*E$9*E$10)))</f>
        <v>0.000521465103324348</v>
      </c>
      <c r="F987" s="3" t="n">
        <f aca="false">F$8*F$10*(1-EXP(-2*$C987/SQRT(PI()*F$9*F$10)))</f>
        <v>0.000521456499966746</v>
      </c>
      <c r="G987" s="3" t="n">
        <f aca="false">G$8*G$10*(1-EXP(-2*$C987/SQRT(PI()*G$9*G$10)))</f>
        <v>0.000260732551662174</v>
      </c>
      <c r="H987" s="3" t="n">
        <f aca="false">H$8*H$10*(1-EXP(-2*$C987/SQRT(PI()*H$9*H$10)))</f>
        <v>5.21465194556205E-005</v>
      </c>
    </row>
    <row r="988" customFormat="false" ht="15.75" hidden="false" customHeight="false" outlineLevel="0" collapsed="false">
      <c r="C988" s="0" t="n">
        <v>97.6</v>
      </c>
      <c r="D988" s="3" t="n">
        <f aca="false">D$8*D$10*(1-EXP(-2*$C988/SQRT(PI()*D$9*D$10)))</f>
        <v>0.000521465194556205</v>
      </c>
      <c r="E988" s="3" t="n">
        <f aca="false">E$8*E$10*(1-EXP(-2*$C988/SQRT(PI()*E$9*E$10)))</f>
        <v>0.000521465104768643</v>
      </c>
      <c r="F988" s="3" t="n">
        <f aca="false">F$8*F$10*(1-EXP(-2*$C988/SQRT(PI()*F$9*F$10)))</f>
        <v>0.000521456597523244</v>
      </c>
      <c r="G988" s="3" t="n">
        <f aca="false">G$8*G$10*(1-EXP(-2*$C988/SQRT(PI()*G$9*G$10)))</f>
        <v>0.000260732552384322</v>
      </c>
      <c r="H988" s="3" t="n">
        <f aca="false">H$8*H$10*(1-EXP(-2*$C988/SQRT(PI()*H$9*H$10)))</f>
        <v>5.21465194556205E-005</v>
      </c>
    </row>
    <row r="989" customFormat="false" ht="15.75" hidden="false" customHeight="false" outlineLevel="0" collapsed="false">
      <c r="C989" s="0" t="n">
        <v>97.7</v>
      </c>
      <c r="D989" s="3" t="n">
        <f aca="false">D$8*D$10*(1-EXP(-2*$C989/SQRT(PI()*D$9*D$10)))</f>
        <v>0.000521465194556205</v>
      </c>
      <c r="E989" s="3" t="n">
        <f aca="false">E$8*E$10*(1-EXP(-2*$C989/SQRT(PI()*E$9*E$10)))</f>
        <v>0.000521465106190074</v>
      </c>
      <c r="F989" s="3" t="n">
        <f aca="false">F$8*F$10*(1-EXP(-2*$C989/SQRT(PI()*F$9*F$10)))</f>
        <v>0.000521456693985121</v>
      </c>
      <c r="G989" s="3" t="n">
        <f aca="false">G$8*G$10*(1-EXP(-2*$C989/SQRT(PI()*G$9*G$10)))</f>
        <v>0.000260732553095037</v>
      </c>
      <c r="H989" s="3" t="n">
        <f aca="false">H$8*H$10*(1-EXP(-2*$C989/SQRT(PI()*H$9*H$10)))</f>
        <v>5.21465194556205E-005</v>
      </c>
    </row>
    <row r="990" customFormat="false" ht="15.75" hidden="false" customHeight="false" outlineLevel="0" collapsed="false">
      <c r="C990" s="0" t="n">
        <v>97.8</v>
      </c>
      <c r="D990" s="3" t="n">
        <f aca="false">D$8*D$10*(1-EXP(-2*$C990/SQRT(PI()*D$9*D$10)))</f>
        <v>0.000521465194556205</v>
      </c>
      <c r="E990" s="3" t="n">
        <f aca="false">E$8*E$10*(1-EXP(-2*$C990/SQRT(PI()*E$9*E$10)))</f>
        <v>0.000521465107589002</v>
      </c>
      <c r="F990" s="3" t="n">
        <f aca="false">F$8*F$10*(1-EXP(-2*$C990/SQRT(PI()*F$9*F$10)))</f>
        <v>0.000521456789364661</v>
      </c>
      <c r="G990" s="3" t="n">
        <f aca="false">G$8*G$10*(1-EXP(-2*$C990/SQRT(PI()*G$9*G$10)))</f>
        <v>0.000260732553794501</v>
      </c>
      <c r="H990" s="3" t="n">
        <f aca="false">H$8*H$10*(1-EXP(-2*$C990/SQRT(PI()*H$9*H$10)))</f>
        <v>5.21465194556205E-005</v>
      </c>
    </row>
    <row r="991" customFormat="false" ht="15.75" hidden="false" customHeight="false" outlineLevel="0" collapsed="false">
      <c r="C991" s="0" t="n">
        <v>97.9</v>
      </c>
      <c r="D991" s="3" t="n">
        <f aca="false">D$8*D$10*(1-EXP(-2*$C991/SQRT(PI()*D$9*D$10)))</f>
        <v>0.000521465194556205</v>
      </c>
      <c r="E991" s="3" t="n">
        <f aca="false">E$8*E$10*(1-EXP(-2*$C991/SQRT(PI()*E$9*E$10)))</f>
        <v>0.000521465108965783</v>
      </c>
      <c r="F991" s="3" t="n">
        <f aca="false">F$8*F$10*(1-EXP(-2*$C991/SQRT(PI()*F$9*F$10)))</f>
        <v>0.000521456883674007</v>
      </c>
      <c r="G991" s="3" t="n">
        <f aca="false">G$8*G$10*(1-EXP(-2*$C991/SQRT(PI()*G$9*G$10)))</f>
        <v>0.000260732554482892</v>
      </c>
      <c r="H991" s="3" t="n">
        <f aca="false">H$8*H$10*(1-EXP(-2*$C991/SQRT(PI()*H$9*H$10)))</f>
        <v>5.21465194556205E-005</v>
      </c>
    </row>
    <row r="992" customFormat="false" ht="15.75" hidden="false" customHeight="false" outlineLevel="0" collapsed="false">
      <c r="C992" s="0" t="n">
        <v>98</v>
      </c>
      <c r="D992" s="3" t="n">
        <f aca="false">D$8*D$10*(1-EXP(-2*$C992/SQRT(PI()*D$9*D$10)))</f>
        <v>0.000521465194556205</v>
      </c>
      <c r="E992" s="3" t="n">
        <f aca="false">E$8*E$10*(1-EXP(-2*$C992/SQRT(PI()*E$9*E$10)))</f>
        <v>0.000521465110320769</v>
      </c>
      <c r="F992" s="3" t="n">
        <f aca="false">F$8*F$10*(1-EXP(-2*$C992/SQRT(PI()*F$9*F$10)))</f>
        <v>0.000521456976925168</v>
      </c>
      <c r="G992" s="3" t="n">
        <f aca="false">G$8*G$10*(1-EXP(-2*$C992/SQRT(PI()*G$9*G$10)))</f>
        <v>0.000260732555160384</v>
      </c>
      <c r="H992" s="3" t="n">
        <f aca="false">H$8*H$10*(1-EXP(-2*$C992/SQRT(PI()*H$9*H$10)))</f>
        <v>5.21465194556205E-005</v>
      </c>
    </row>
    <row r="993" customFormat="false" ht="15.75" hidden="false" customHeight="false" outlineLevel="0" collapsed="false">
      <c r="C993" s="0" t="n">
        <v>98.1</v>
      </c>
      <c r="D993" s="3" t="n">
        <f aca="false">D$8*D$10*(1-EXP(-2*$C993/SQRT(PI()*D$9*D$10)))</f>
        <v>0.000521465194556205</v>
      </c>
      <c r="E993" s="3" t="n">
        <f aca="false">E$8*E$10*(1-EXP(-2*$C993/SQRT(PI()*E$9*E$10)))</f>
        <v>0.000521465111654304</v>
      </c>
      <c r="F993" s="3" t="n">
        <f aca="false">F$8*F$10*(1-EXP(-2*$C993/SQRT(PI()*F$9*F$10)))</f>
        <v>0.000521457069130016</v>
      </c>
      <c r="G993" s="3" t="n">
        <f aca="false">G$8*G$10*(1-EXP(-2*$C993/SQRT(PI()*G$9*G$10)))</f>
        <v>0.000260732555827152</v>
      </c>
      <c r="H993" s="3" t="n">
        <f aca="false">H$8*H$10*(1-EXP(-2*$C993/SQRT(PI()*H$9*H$10)))</f>
        <v>5.21465194556205E-005</v>
      </c>
    </row>
    <row r="994" customFormat="false" ht="15.75" hidden="false" customHeight="false" outlineLevel="0" collapsed="false">
      <c r="C994" s="0" t="n">
        <v>98.2</v>
      </c>
      <c r="D994" s="3" t="n">
        <f aca="false">D$8*D$10*(1-EXP(-2*$C994/SQRT(PI()*D$9*D$10)))</f>
        <v>0.000521465194556205</v>
      </c>
      <c r="E994" s="3" t="n">
        <f aca="false">E$8*E$10*(1-EXP(-2*$C994/SQRT(PI()*E$9*E$10)))</f>
        <v>0.000521465112966727</v>
      </c>
      <c r="F994" s="3" t="n">
        <f aca="false">F$8*F$10*(1-EXP(-2*$C994/SQRT(PI()*F$9*F$10)))</f>
        <v>0.000521457160300292</v>
      </c>
      <c r="G994" s="3" t="n">
        <f aca="false">G$8*G$10*(1-EXP(-2*$C994/SQRT(PI()*G$9*G$10)))</f>
        <v>0.000260732556483364</v>
      </c>
      <c r="H994" s="3" t="n">
        <f aca="false">H$8*H$10*(1-EXP(-2*$C994/SQRT(PI()*H$9*H$10)))</f>
        <v>5.21465194556205E-005</v>
      </c>
    </row>
    <row r="995" customFormat="false" ht="15.75" hidden="false" customHeight="false" outlineLevel="0" collapsed="false">
      <c r="C995" s="0" t="n">
        <v>98.3</v>
      </c>
      <c r="D995" s="3" t="n">
        <f aca="false">D$8*D$10*(1-EXP(-2*$C995/SQRT(PI()*D$9*D$10)))</f>
        <v>0.000521465194556205</v>
      </c>
      <c r="E995" s="3" t="n">
        <f aca="false">E$8*E$10*(1-EXP(-2*$C995/SQRT(PI()*E$9*E$10)))</f>
        <v>0.000521465114258374</v>
      </c>
      <c r="F995" s="3" t="n">
        <f aca="false">F$8*F$10*(1-EXP(-2*$C995/SQRT(PI()*F$9*F$10)))</f>
        <v>0.000521457250447604</v>
      </c>
      <c r="G995" s="3" t="n">
        <f aca="false">G$8*G$10*(1-EXP(-2*$C995/SQRT(PI()*G$9*G$10)))</f>
        <v>0.000260732557129187</v>
      </c>
      <c r="H995" s="3" t="n">
        <f aca="false">H$8*H$10*(1-EXP(-2*$C995/SQRT(PI()*H$9*H$10)))</f>
        <v>5.21465194556205E-005</v>
      </c>
    </row>
    <row r="996" customFormat="false" ht="15.75" hidden="false" customHeight="false" outlineLevel="0" collapsed="false">
      <c r="C996" s="0" t="n">
        <v>98.4</v>
      </c>
      <c r="D996" s="3" t="n">
        <f aca="false">D$8*D$10*(1-EXP(-2*$C996/SQRT(PI()*D$9*D$10)))</f>
        <v>0.000521465194556205</v>
      </c>
      <c r="E996" s="3" t="n">
        <f aca="false">E$8*E$10*(1-EXP(-2*$C996/SQRT(PI()*E$9*E$10)))</f>
        <v>0.000521465115529572</v>
      </c>
      <c r="F996" s="3" t="n">
        <f aca="false">F$8*F$10*(1-EXP(-2*$C996/SQRT(PI()*F$9*F$10)))</f>
        <v>0.000521457339583429</v>
      </c>
      <c r="G996" s="3" t="n">
        <f aca="false">G$8*G$10*(1-EXP(-2*$C996/SQRT(PI()*G$9*G$10)))</f>
        <v>0.000260732557764786</v>
      </c>
      <c r="H996" s="3" t="n">
        <f aca="false">H$8*H$10*(1-EXP(-2*$C996/SQRT(PI()*H$9*H$10)))</f>
        <v>5.21465194556205E-005</v>
      </c>
    </row>
    <row r="997" customFormat="false" ht="15.75" hidden="false" customHeight="false" outlineLevel="0" collapsed="false">
      <c r="C997" s="0" t="n">
        <v>98.5</v>
      </c>
      <c r="D997" s="3" t="n">
        <f aca="false">D$8*D$10*(1-EXP(-2*$C997/SQRT(PI()*D$9*D$10)))</f>
        <v>0.000521465194556205</v>
      </c>
      <c r="E997" s="3" t="n">
        <f aca="false">E$8*E$10*(1-EXP(-2*$C997/SQRT(PI()*E$9*E$10)))</f>
        <v>0.000521465116780646</v>
      </c>
      <c r="F997" s="3" t="n">
        <f aca="false">F$8*F$10*(1-EXP(-2*$C997/SQRT(PI()*F$9*F$10)))</f>
        <v>0.000521457427719118</v>
      </c>
      <c r="G997" s="3" t="n">
        <f aca="false">G$8*G$10*(1-EXP(-2*$C997/SQRT(PI()*G$9*G$10)))</f>
        <v>0.000260732558390323</v>
      </c>
      <c r="H997" s="3" t="n">
        <f aca="false">H$8*H$10*(1-EXP(-2*$C997/SQRT(PI()*H$9*H$10)))</f>
        <v>5.21465194556205E-005</v>
      </c>
    </row>
    <row r="998" customFormat="false" ht="15.75" hidden="false" customHeight="false" outlineLevel="0" collapsed="false">
      <c r="C998" s="0" t="n">
        <v>98.6</v>
      </c>
      <c r="D998" s="3" t="n">
        <f aca="false">D$8*D$10*(1-EXP(-2*$C998/SQRT(PI()*D$9*D$10)))</f>
        <v>0.000521465194556205</v>
      </c>
      <c r="E998" s="3" t="n">
        <f aca="false">E$8*E$10*(1-EXP(-2*$C998/SQRT(PI()*E$9*E$10)))</f>
        <v>0.000521465118011914</v>
      </c>
      <c r="F998" s="3" t="n">
        <f aca="false">F$8*F$10*(1-EXP(-2*$C998/SQRT(PI()*F$9*F$10)))</f>
        <v>0.000521457514865892</v>
      </c>
      <c r="G998" s="3" t="n">
        <f aca="false">G$8*G$10*(1-EXP(-2*$C998/SQRT(PI()*G$9*G$10)))</f>
        <v>0.000260732559005957</v>
      </c>
      <c r="H998" s="3" t="n">
        <f aca="false">H$8*H$10*(1-EXP(-2*$C998/SQRT(PI()*H$9*H$10)))</f>
        <v>5.21465194556205E-005</v>
      </c>
    </row>
    <row r="999" customFormat="false" ht="15.75" hidden="false" customHeight="false" outlineLevel="0" collapsed="false">
      <c r="C999" s="0" t="n">
        <v>98.7</v>
      </c>
      <c r="D999" s="3" t="n">
        <f aca="false">D$8*D$10*(1-EXP(-2*$C999/SQRT(PI()*D$9*D$10)))</f>
        <v>0.000521465194556205</v>
      </c>
      <c r="E999" s="3" t="n">
        <f aca="false">E$8*E$10*(1-EXP(-2*$C999/SQRT(PI()*E$9*E$10)))</f>
        <v>0.00052146511922369</v>
      </c>
      <c r="F999" s="3" t="n">
        <f aca="false">F$8*F$10*(1-EXP(-2*$C999/SQRT(PI()*F$9*F$10)))</f>
        <v>0.000521457601034847</v>
      </c>
      <c r="G999" s="3" t="n">
        <f aca="false">G$8*G$10*(1-EXP(-2*$C999/SQRT(PI()*G$9*G$10)))</f>
        <v>0.000260732559611845</v>
      </c>
      <c r="H999" s="3" t="n">
        <f aca="false">H$8*H$10*(1-EXP(-2*$C999/SQRT(PI()*H$9*H$10)))</f>
        <v>5.21465194556205E-005</v>
      </c>
    </row>
    <row r="1000" customFormat="false" ht="15.75" hidden="false" customHeight="false" outlineLevel="0" collapsed="false">
      <c r="C1000" s="0" t="n">
        <v>98.8</v>
      </c>
      <c r="D1000" s="3" t="n">
        <f aca="false">D$8*D$10*(1-EXP(-2*$C1000/SQRT(PI()*D$9*D$10)))</f>
        <v>0.000521465194556205</v>
      </c>
      <c r="E1000" s="3" t="n">
        <f aca="false">E$8*E$10*(1-EXP(-2*$C1000/SQRT(PI()*E$9*E$10)))</f>
        <v>0.000521465120416282</v>
      </c>
      <c r="F1000" s="3" t="n">
        <f aca="false">F$8*F$10*(1-EXP(-2*$C1000/SQRT(PI()*F$9*F$10)))</f>
        <v>0.000521457686236955</v>
      </c>
      <c r="G1000" s="3" t="n">
        <f aca="false">G$8*G$10*(1-EXP(-2*$C1000/SQRT(PI()*G$9*G$10)))</f>
        <v>0.000260732560208141</v>
      </c>
      <c r="H1000" s="3" t="n">
        <f aca="false">H$8*H$10*(1-EXP(-2*$C1000/SQRT(PI()*H$9*H$10)))</f>
        <v>5.21465194556205E-005</v>
      </c>
    </row>
    <row r="1001" customFormat="false" ht="15.75" hidden="false" customHeight="false" outlineLevel="0" collapsed="false">
      <c r="C1001" s="0" t="n">
        <v>98.9</v>
      </c>
      <c r="D1001" s="3" t="n">
        <f aca="false">D$8*D$10*(1-EXP(-2*$C1001/SQRT(PI()*D$9*D$10)))</f>
        <v>0.000521465194556205</v>
      </c>
      <c r="E1001" s="3" t="n">
        <f aca="false">E$8*E$10*(1-EXP(-2*$C1001/SQRT(PI()*E$9*E$10)))</f>
        <v>0.000521465121589994</v>
      </c>
      <c r="F1001" s="3" t="n">
        <f aca="false">F$8*F$10*(1-EXP(-2*$C1001/SQRT(PI()*F$9*F$10)))</f>
        <v>0.000521457770483063</v>
      </c>
      <c r="G1001" s="3" t="n">
        <f aca="false">G$8*G$10*(1-EXP(-2*$C1001/SQRT(PI()*G$9*G$10)))</f>
        <v>0.000260732560794997</v>
      </c>
      <c r="H1001" s="3" t="n">
        <f aca="false">H$8*H$10*(1-EXP(-2*$C1001/SQRT(PI()*H$9*H$10)))</f>
        <v>5.21465194556205E-005</v>
      </c>
    </row>
    <row r="1002" customFormat="false" ht="15.75" hidden="false" customHeight="false" outlineLevel="0" collapsed="false">
      <c r="C1002" s="0" t="n">
        <v>99</v>
      </c>
      <c r="D1002" s="3" t="n">
        <f aca="false">D$8*D$10*(1-EXP(-2*$C1002/SQRT(PI()*D$9*D$10)))</f>
        <v>0.000521465194556205</v>
      </c>
      <c r="E1002" s="3" t="n">
        <f aca="false">E$8*E$10*(1-EXP(-2*$C1002/SQRT(PI()*E$9*E$10)))</f>
        <v>0.000521465122745126</v>
      </c>
      <c r="F1002" s="3" t="n">
        <f aca="false">F$8*F$10*(1-EXP(-2*$C1002/SQRT(PI()*F$9*F$10)))</f>
        <v>0.0005214578537839</v>
      </c>
      <c r="G1002" s="3" t="n">
        <f aca="false">G$8*G$10*(1-EXP(-2*$C1002/SQRT(PI()*G$9*G$10)))</f>
        <v>0.000260732561372563</v>
      </c>
      <c r="H1002" s="3" t="n">
        <f aca="false">H$8*H$10*(1-EXP(-2*$C1002/SQRT(PI()*H$9*H$10)))</f>
        <v>5.21465194556205E-005</v>
      </c>
    </row>
    <row r="1003" customFormat="false" ht="15.75" hidden="false" customHeight="false" outlineLevel="0" collapsed="false">
      <c r="C1003" s="0" t="n">
        <v>99.1</v>
      </c>
      <c r="D1003" s="3" t="n">
        <f aca="false">D$8*D$10*(1-EXP(-2*$C1003/SQRT(PI()*D$9*D$10)))</f>
        <v>0.000521465194556205</v>
      </c>
      <c r="E1003" s="3" t="n">
        <f aca="false">E$8*E$10*(1-EXP(-2*$C1003/SQRT(PI()*E$9*E$10)))</f>
        <v>0.00052146512388197</v>
      </c>
      <c r="F1003" s="3" t="n">
        <f aca="false">F$8*F$10*(1-EXP(-2*$C1003/SQRT(PI()*F$9*F$10)))</f>
        <v>0.00052145793615007</v>
      </c>
      <c r="G1003" s="3" t="n">
        <f aca="false">G$8*G$10*(1-EXP(-2*$C1003/SQRT(PI()*G$9*G$10)))</f>
        <v>0.000260732561940985</v>
      </c>
      <c r="H1003" s="3" t="n">
        <f aca="false">H$8*H$10*(1-EXP(-2*$C1003/SQRT(PI()*H$9*H$10)))</f>
        <v>5.21465194556205E-005</v>
      </c>
    </row>
    <row r="1004" customFormat="false" ht="15.75" hidden="false" customHeight="false" outlineLevel="0" collapsed="false">
      <c r="C1004" s="0" t="n">
        <v>99.2</v>
      </c>
      <c r="D1004" s="3" t="n">
        <f aca="false">D$8*D$10*(1-EXP(-2*$C1004/SQRT(PI()*D$9*D$10)))</f>
        <v>0.000521465194556205</v>
      </c>
      <c r="E1004" s="3" t="n">
        <f aca="false">E$8*E$10*(1-EXP(-2*$C1004/SQRT(PI()*E$9*E$10)))</f>
        <v>0.000521465125000816</v>
      </c>
      <c r="F1004" s="3" t="n">
        <f aca="false">F$8*F$10*(1-EXP(-2*$C1004/SQRT(PI()*F$9*F$10)))</f>
        <v>0.000521458017592061</v>
      </c>
      <c r="G1004" s="3" t="n">
        <f aca="false">G$8*G$10*(1-EXP(-2*$C1004/SQRT(PI()*G$9*G$10)))</f>
        <v>0.000260732562500408</v>
      </c>
      <c r="H1004" s="3" t="n">
        <f aca="false">H$8*H$10*(1-EXP(-2*$C1004/SQRT(PI()*H$9*H$10)))</f>
        <v>5.21465194556205E-005</v>
      </c>
    </row>
    <row r="1005" customFormat="false" ht="15.75" hidden="false" customHeight="false" outlineLevel="0" collapsed="false">
      <c r="C1005" s="0" t="n">
        <v>99.3</v>
      </c>
      <c r="D1005" s="3" t="n">
        <f aca="false">D$8*D$10*(1-EXP(-2*$C1005/SQRT(PI()*D$9*D$10)))</f>
        <v>0.000521465194556205</v>
      </c>
      <c r="E1005" s="3" t="n">
        <f aca="false">E$8*E$10*(1-EXP(-2*$C1005/SQRT(PI()*E$9*E$10)))</f>
        <v>0.000521465126101951</v>
      </c>
      <c r="F1005" s="3" t="n">
        <f aca="false">F$8*F$10*(1-EXP(-2*$C1005/SQRT(PI()*F$9*F$10)))</f>
        <v>0.000521458098120243</v>
      </c>
      <c r="G1005" s="3" t="n">
        <f aca="false">G$8*G$10*(1-EXP(-2*$C1005/SQRT(PI()*G$9*G$10)))</f>
        <v>0.000260732563050975</v>
      </c>
      <c r="H1005" s="3" t="n">
        <f aca="false">H$8*H$10*(1-EXP(-2*$C1005/SQRT(PI()*H$9*H$10)))</f>
        <v>5.21465194556205E-005</v>
      </c>
    </row>
    <row r="1006" customFormat="false" ht="15.75" hidden="false" customHeight="false" outlineLevel="0" collapsed="false">
      <c r="C1006" s="0" t="n">
        <v>99.4</v>
      </c>
      <c r="D1006" s="3" t="n">
        <f aca="false">D$8*D$10*(1-EXP(-2*$C1006/SQRT(PI()*D$9*D$10)))</f>
        <v>0.000521465194556205</v>
      </c>
      <c r="E1006" s="3" t="n">
        <f aca="false">E$8*E$10*(1-EXP(-2*$C1006/SQRT(PI()*E$9*E$10)))</f>
        <v>0.000521465127185653</v>
      </c>
      <c r="F1006" s="3" t="n">
        <f aca="false">F$8*F$10*(1-EXP(-2*$C1006/SQRT(PI()*F$9*F$10)))</f>
        <v>0.000521458177744869</v>
      </c>
      <c r="G1006" s="3" t="n">
        <f aca="false">G$8*G$10*(1-EXP(-2*$C1006/SQRT(PI()*G$9*G$10)))</f>
        <v>0.000260732563592826</v>
      </c>
      <c r="H1006" s="3" t="n">
        <f aca="false">H$8*H$10*(1-EXP(-2*$C1006/SQRT(PI()*H$9*H$10)))</f>
        <v>5.21465194556205E-005</v>
      </c>
    </row>
    <row r="1007" customFormat="false" ht="15.75" hidden="false" customHeight="false" outlineLevel="0" collapsed="false">
      <c r="C1007" s="0" t="n">
        <v>99.5</v>
      </c>
      <c r="D1007" s="3" t="n">
        <f aca="false">D$8*D$10*(1-EXP(-2*$C1007/SQRT(PI()*D$9*D$10)))</f>
        <v>0.000521465194556205</v>
      </c>
      <c r="E1007" s="3" t="n">
        <f aca="false">E$8*E$10*(1-EXP(-2*$C1007/SQRT(PI()*E$9*E$10)))</f>
        <v>0.000521465128252199</v>
      </c>
      <c r="F1007" s="3" t="n">
        <f aca="false">F$8*F$10*(1-EXP(-2*$C1007/SQRT(PI()*F$9*F$10)))</f>
        <v>0.000521458256476078</v>
      </c>
      <c r="G1007" s="3" t="n">
        <f aca="false">G$8*G$10*(1-EXP(-2*$C1007/SQRT(PI()*G$9*G$10)))</f>
        <v>0.000260732564126099</v>
      </c>
      <c r="H1007" s="3" t="n">
        <f aca="false">H$8*H$10*(1-EXP(-2*$C1007/SQRT(PI()*H$9*H$10)))</f>
        <v>5.21465194556205E-005</v>
      </c>
    </row>
    <row r="1008" customFormat="false" ht="15.75" hidden="false" customHeight="false" outlineLevel="0" collapsed="false">
      <c r="C1008" s="0" t="n">
        <v>99.6</v>
      </c>
      <c r="D1008" s="3" t="n">
        <f aca="false">D$8*D$10*(1-EXP(-2*$C1008/SQRT(PI()*D$9*D$10)))</f>
        <v>0.000521465194556205</v>
      </c>
      <c r="E1008" s="3" t="n">
        <f aca="false">E$8*E$10*(1-EXP(-2*$C1008/SQRT(PI()*E$9*E$10)))</f>
        <v>0.000521465129301861</v>
      </c>
      <c r="F1008" s="3" t="n">
        <f aca="false">F$8*F$10*(1-EXP(-2*$C1008/SQRT(PI()*F$9*F$10)))</f>
        <v>0.000521458334323894</v>
      </c>
      <c r="G1008" s="3" t="n">
        <f aca="false">G$8*G$10*(1-EXP(-2*$C1008/SQRT(PI()*G$9*G$10)))</f>
        <v>0.00026073256465093</v>
      </c>
      <c r="H1008" s="3" t="n">
        <f aca="false">H$8*H$10*(1-EXP(-2*$C1008/SQRT(PI()*H$9*H$10)))</f>
        <v>5.21465194556205E-005</v>
      </c>
    </row>
    <row r="1009" customFormat="false" ht="15.75" hidden="false" customHeight="false" outlineLevel="0" collapsed="false">
      <c r="C1009" s="0" t="n">
        <v>99.7</v>
      </c>
      <c r="D1009" s="3" t="n">
        <f aca="false">D$8*D$10*(1-EXP(-2*$C1009/SQRT(PI()*D$9*D$10)))</f>
        <v>0.000521465194556205</v>
      </c>
      <c r="E1009" s="3" t="n">
        <f aca="false">E$8*E$10*(1-EXP(-2*$C1009/SQRT(PI()*E$9*E$10)))</f>
        <v>0.000521465130334905</v>
      </c>
      <c r="F1009" s="3" t="n">
        <f aca="false">F$8*F$10*(1-EXP(-2*$C1009/SQRT(PI()*F$9*F$10)))</f>
        <v>0.000521458411298228</v>
      </c>
      <c r="G1009" s="3" t="n">
        <f aca="false">G$8*G$10*(1-EXP(-2*$C1009/SQRT(PI()*G$9*G$10)))</f>
        <v>0.000260732565167452</v>
      </c>
      <c r="H1009" s="3" t="n">
        <f aca="false">H$8*H$10*(1-EXP(-2*$C1009/SQRT(PI()*H$9*H$10)))</f>
        <v>5.21465194556205E-005</v>
      </c>
    </row>
    <row r="1010" customFormat="false" ht="15.75" hidden="false" customHeight="false" outlineLevel="0" collapsed="false">
      <c r="C1010" s="0" t="n">
        <v>99.8</v>
      </c>
      <c r="D1010" s="3" t="n">
        <f aca="false">D$8*D$10*(1-EXP(-2*$C1010/SQRT(PI()*D$9*D$10)))</f>
        <v>0.000521465194556205</v>
      </c>
      <c r="E1010" s="3" t="n">
        <f aca="false">E$8*E$10*(1-EXP(-2*$C1010/SQRT(PI()*E$9*E$10)))</f>
        <v>0.000521465131351595</v>
      </c>
      <c r="F1010" s="3" t="n">
        <f aca="false">F$8*F$10*(1-EXP(-2*$C1010/SQRT(PI()*F$9*F$10)))</f>
        <v>0.000521458487408882</v>
      </c>
      <c r="G1010" s="3" t="n">
        <f aca="false">G$8*G$10*(1-EXP(-2*$C1010/SQRT(PI()*G$9*G$10)))</f>
        <v>0.000260732565675797</v>
      </c>
      <c r="H1010" s="3" t="n">
        <f aca="false">H$8*H$10*(1-EXP(-2*$C1010/SQRT(PI()*H$9*H$10)))</f>
        <v>5.21465194556205E-005</v>
      </c>
    </row>
    <row r="1011" customFormat="false" ht="15.75" hidden="false" customHeight="false" outlineLevel="0" collapsed="false">
      <c r="C1011" s="0" t="n">
        <v>99.9</v>
      </c>
      <c r="D1011" s="3" t="n">
        <f aca="false">D$8*D$10*(1-EXP(-2*$C1011/SQRT(PI()*D$9*D$10)))</f>
        <v>0.000521465194556205</v>
      </c>
      <c r="E1011" s="3" t="n">
        <f aca="false">E$8*E$10*(1-EXP(-2*$C1011/SQRT(PI()*E$9*E$10)))</f>
        <v>0.00052146513235219</v>
      </c>
      <c r="F1011" s="3" t="n">
        <f aca="false">F$8*F$10*(1-EXP(-2*$C1011/SQRT(PI()*F$9*F$10)))</f>
        <v>0.000521458562665546</v>
      </c>
      <c r="G1011" s="3" t="n">
        <f aca="false">G$8*G$10*(1-EXP(-2*$C1011/SQRT(PI()*G$9*G$10)))</f>
        <v>0.000260732566176095</v>
      </c>
      <c r="H1011" s="3" t="n">
        <f aca="false">H$8*H$10*(1-EXP(-2*$C1011/SQRT(PI()*H$9*H$10)))</f>
        <v>5.21465194556205E-005</v>
      </c>
    </row>
    <row r="1012" customFormat="false" ht="15.75" hidden="false" customHeight="false" outlineLevel="0" collapsed="false">
      <c r="C1012" s="0" t="n">
        <v>100</v>
      </c>
      <c r="D1012" s="3" t="n">
        <f aca="false">D$8*D$10*(1-EXP(-2*$C1012/SQRT(PI()*D$9*D$10)))</f>
        <v>0.000521465194556205</v>
      </c>
      <c r="E1012" s="3" t="n">
        <f aca="false">E$8*E$10*(1-EXP(-2*$C1012/SQRT(PI()*E$9*E$10)))</f>
        <v>0.000521465133336944</v>
      </c>
      <c r="F1012" s="3" t="n">
        <f aca="false">F$8*F$10*(1-EXP(-2*$C1012/SQRT(PI()*F$9*F$10)))</f>
        <v>0.000521458637077803</v>
      </c>
      <c r="G1012" s="3" t="n">
        <f aca="false">G$8*G$10*(1-EXP(-2*$C1012/SQRT(PI()*G$9*G$10)))</f>
        <v>0.000260732566668472</v>
      </c>
      <c r="H1012" s="3" t="n">
        <f aca="false">H$8*H$10*(1-EXP(-2*$C1012/SQRT(PI()*H$9*H$10)))</f>
        <v>5.21465194556205E-005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2022-05-30T04:42:31Z</dcterms:created>
  <dc:creator>Microsoft Office User</dc:creator>
  <dc:description/>
  <dc:language>en-CA</dc:language>
  <cp:lastModifiedBy/>
  <dcterms:modified xsi:type="dcterms:W3CDTF">2022-06-08T10:35:18Z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