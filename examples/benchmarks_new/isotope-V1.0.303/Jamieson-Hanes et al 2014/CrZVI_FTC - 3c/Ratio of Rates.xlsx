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h\Documents\MIN3ProJects\Cr Isotopes\CrZVI_FTC - 3c\"/>
    </mc:Choice>
  </mc:AlternateContent>
  <bookViews>
    <workbookView xWindow="0" yWindow="0" windowWidth="28800" windowHeight="12435" activeTab="3"/>
  </bookViews>
  <sheets>
    <sheet name="Cr_FTC_4 (2)" sheetId="8" r:id="rId1"/>
    <sheet name="Cr_FTC_3 (2)" sheetId="7" r:id="rId2"/>
    <sheet name="Cr_FTC_2 (2)" sheetId="6" r:id="rId3"/>
    <sheet name="Cr_FTC_1 (2)" sheetId="5" r:id="rId4"/>
    <sheet name="Cr_FTC_4" sheetId="4" r:id="rId5"/>
    <sheet name="Cr_FTC_3" sheetId="3" r:id="rId6"/>
    <sheet name="Cr_FTC_2" sheetId="2" r:id="rId7"/>
    <sheet name="Cr_FTC_1" sheetId="1" r:id="rId8"/>
  </sheets>
  <calcPr calcId="0"/>
</workbook>
</file>

<file path=xl/calcChain.xml><?xml version="1.0" encoding="utf-8"?>
<calcChain xmlns="http://schemas.openxmlformats.org/spreadsheetml/2006/main">
  <c r="J34" i="8" l="1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4" i="5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4" i="7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4" i="6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4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4" i="8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4" i="4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</calcChain>
</file>

<file path=xl/sharedStrings.xml><?xml version="1.0" encoding="utf-8"?>
<sst xmlns="http://schemas.openxmlformats.org/spreadsheetml/2006/main" count="167" uniqueCount="33">
  <si>
    <t>title</t>
  </si>
  <si>
    <t>=</t>
  </si>
  <si>
    <t>dataset Cr_FTC</t>
  </si>
  <si>
    <t>variables</t>
  </si>
  <si>
    <t>x</t>
  </si>
  <si>
    <t>y</t>
  </si>
  <si>
    <t>z</t>
  </si>
  <si>
    <t>fe_0_h2o_4_1</t>
  </si>
  <si>
    <t>52fe_0_cr_d2_1</t>
  </si>
  <si>
    <t>53fe_0_cr_d2_1</t>
  </si>
  <si>
    <t>52cr(oh)3(a)_1</t>
  </si>
  <si>
    <t>53cr(oh)3(a)_1</t>
  </si>
  <si>
    <t>fe(oh)2(s)_1</t>
  </si>
  <si>
    <t>aragonite_1</t>
  </si>
  <si>
    <t>fe2(oh)2co3_1</t>
  </si>
  <si>
    <t>ferrihydrite_1</t>
  </si>
  <si>
    <t>zone</t>
  </si>
  <si>
    <t>t</t>
  </si>
  <si>
    <t>Diss.-prec. rates, T =  1.000E+00 hours</t>
  </si>
  <si>
    <t>i</t>
  </si>
  <si>
    <t>j</t>
  </si>
  <si>
    <t>k</t>
  </si>
  <si>
    <t>f=point</t>
  </si>
  <si>
    <t>Diss.-prec. rates, T =  5.000E+00 hours</t>
  </si>
  <si>
    <t>Diss.-prec. rates, T =  1.000E+01 hours</t>
  </si>
  <si>
    <t>Diss.-prec. rates, T =  2.500E+01 hours</t>
  </si>
  <si>
    <t>53cro4-fe+2c</t>
  </si>
  <si>
    <t>52cro4-fe+2c</t>
  </si>
  <si>
    <t>Total Stage 1</t>
  </si>
  <si>
    <t>Total Stage 2</t>
  </si>
  <si>
    <t>Total Stage 2 (mol/L H20/day)</t>
  </si>
  <si>
    <t>Total Stage 2 (mol/L bulk/day)</t>
  </si>
  <si>
    <t>Ratio Stage 1/Stage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</si>
</sst>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 Hour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'Cr_FTC_1 (2)'!$J$4:$J$34</c:f>
              <c:numCache>
                <c:formatCode>0.00E+00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</c:numCache>
            </c:numRef>
          </c:xVal>
          <c:yVal>
            <c:numRef>
              <c:f>'Cr_FTC_1 (2)'!$I$4:$I$34</c:f>
              <c:numCache>
                <c:formatCode>0.00E+00</c:formatCode>
                <c:ptCount val="31"/>
                <c:pt idx="0">
                  <c:v>7.2075444989682111</c:v>
                </c:pt>
                <c:pt idx="1">
                  <c:v>7.6878167901508512</c:v>
                </c:pt>
                <c:pt idx="2">
                  <c:v>9.953712264147768</c:v>
                </c:pt>
                <c:pt idx="3">
                  <c:v>13.36149473300676</c:v>
                </c:pt>
                <c:pt idx="4">
                  <c:v>18.108491885092008</c:v>
                </c:pt>
                <c:pt idx="5">
                  <c:v>24.679671167580043</c:v>
                </c:pt>
                <c:pt idx="6">
                  <c:v>33.772398341326294</c:v>
                </c:pt>
                <c:pt idx="7">
                  <c:v>46.274222341953163</c:v>
                </c:pt>
                <c:pt idx="8">
                  <c:v>63.204438647756689</c:v>
                </c:pt>
                <c:pt idx="9">
                  <c:v>85.574832993418013</c:v>
                </c:pt>
                <c:pt idx="10">
                  <c:v>114.14145975009359</c:v>
                </c:pt>
                <c:pt idx="11">
                  <c:v>149.02101536960362</c:v>
                </c:pt>
                <c:pt idx="12">
                  <c:v>189.1721855024895</c:v>
                </c:pt>
                <c:pt idx="13">
                  <c:v>231.89822478889366</c:v>
                </c:pt>
                <c:pt idx="14">
                  <c:v>272.83710917917767</c:v>
                </c:pt>
                <c:pt idx="15">
                  <c:v>306.9703931243933</c:v>
                </c:pt>
                <c:pt idx="16">
                  <c:v>330.44280512817721</c:v>
                </c:pt>
                <c:pt idx="17">
                  <c:v>341.94494356650904</c:v>
                </c:pt>
                <c:pt idx="18">
                  <c:v>342.7936879086995</c:v>
                </c:pt>
                <c:pt idx="19">
                  <c:v>335.65973802765984</c:v>
                </c:pt>
                <c:pt idx="20">
                  <c:v>323.42815857490893</c:v>
                </c:pt>
                <c:pt idx="21">
                  <c:v>308.47654994554006</c:v>
                </c:pt>
                <c:pt idx="22">
                  <c:v>292.47823691122511</c:v>
                </c:pt>
                <c:pt idx="23">
                  <c:v>276.48967131451161</c:v>
                </c:pt>
                <c:pt idx="24">
                  <c:v>261.12333683428966</c:v>
                </c:pt>
                <c:pt idx="25">
                  <c:v>246.73993777112631</c:v>
                </c:pt>
                <c:pt idx="26">
                  <c:v>233.59321906503999</c:v>
                </c:pt>
                <c:pt idx="27">
                  <c:v>221.94967417621237</c:v>
                </c:pt>
                <c:pt idx="28">
                  <c:v>212.2365634743781</c:v>
                </c:pt>
                <c:pt idx="29">
                  <c:v>205.25399445185067</c:v>
                </c:pt>
                <c:pt idx="30">
                  <c:v>202.58154424922259</c:v>
                </c:pt>
              </c:numCache>
            </c:numRef>
          </c:yVal>
          <c:smooth val="1"/>
        </c:ser>
        <c:ser>
          <c:idx val="1"/>
          <c:order val="1"/>
          <c:tx>
            <c:v>5 Hours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'Cr_FTC_2 (2)'!$J$4:$J$34</c:f>
              <c:numCache>
                <c:formatCode>0.00E+00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</c:numCache>
            </c:numRef>
          </c:xVal>
          <c:yVal>
            <c:numRef>
              <c:f>'Cr_FTC_2 (2)'!$I$4:$I$34</c:f>
              <c:numCache>
                <c:formatCode>0.00E+00</c:formatCode>
                <c:ptCount val="31"/>
                <c:pt idx="0">
                  <c:v>0.53013268943167002</c:v>
                </c:pt>
                <c:pt idx="1">
                  <c:v>0.46002844822515421</c:v>
                </c:pt>
                <c:pt idx="2">
                  <c:v>0.4246300763914489</c:v>
                </c:pt>
                <c:pt idx="3">
                  <c:v>0.41225914343164027</c:v>
                </c:pt>
                <c:pt idx="4">
                  <c:v>0.41168841955559032</c:v>
                </c:pt>
                <c:pt idx="5">
                  <c:v>0.41784068432740623</c:v>
                </c:pt>
                <c:pt idx="6">
                  <c:v>0.42860395819462521</c:v>
                </c:pt>
                <c:pt idx="7">
                  <c:v>0.44321859836596045</c:v>
                </c:pt>
                <c:pt idx="8">
                  <c:v>0.46159001886782669</c:v>
                </c:pt>
                <c:pt idx="9">
                  <c:v>0.48397609080184545</c:v>
                </c:pt>
                <c:pt idx="10">
                  <c:v>0.51084645195785339</c:v>
                </c:pt>
                <c:pt idx="11">
                  <c:v>0.54283576606008299</c:v>
                </c:pt>
                <c:pt idx="12">
                  <c:v>0.58076046033405038</c:v>
                </c:pt>
                <c:pt idx="13">
                  <c:v>0.62567914816571846</c:v>
                </c:pt>
                <c:pt idx="14">
                  <c:v>0.67898256884339536</c:v>
                </c:pt>
                <c:pt idx="15">
                  <c:v>0.74252111581111013</c:v>
                </c:pt>
                <c:pt idx="16">
                  <c:v>0.81876811478911249</c:v>
                </c:pt>
                <c:pt idx="17">
                  <c:v>0.91102691424556059</c:v>
                </c:pt>
                <c:pt idx="18">
                  <c:v>1.0237159351007319</c:v>
                </c:pt>
                <c:pt idx="19">
                  <c:v>1.1627354188316039</c:v>
                </c:pt>
                <c:pt idx="20">
                  <c:v>1.336008534220017</c:v>
                </c:pt>
                <c:pt idx="21">
                  <c:v>1.554032041031846</c:v>
                </c:pt>
                <c:pt idx="22">
                  <c:v>1.8306500399279271</c:v>
                </c:pt>
                <c:pt idx="23">
                  <c:v>2.18382449059904</c:v>
                </c:pt>
                <c:pt idx="24">
                  <c:v>2.6359158671115828</c:v>
                </c:pt>
                <c:pt idx="25">
                  <c:v>3.212217226094995</c:v>
                </c:pt>
                <c:pt idx="26">
                  <c:v>3.9344599643454061</c:v>
                </c:pt>
                <c:pt idx="27">
                  <c:v>4.8056145648645545</c:v>
                </c:pt>
                <c:pt idx="28">
                  <c:v>5.769109251927544</c:v>
                </c:pt>
                <c:pt idx="29">
                  <c:v>6.6401462485881986</c:v>
                </c:pt>
                <c:pt idx="30">
                  <c:v>7.0217746720461225</c:v>
                </c:pt>
              </c:numCache>
            </c:numRef>
          </c:yVal>
          <c:smooth val="1"/>
        </c:ser>
        <c:ser>
          <c:idx val="2"/>
          <c:order val="2"/>
          <c:tx>
            <c:v>10 Hours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'Cr_FTC_3 (2)'!$J$4:$J$34</c:f>
              <c:numCache>
                <c:formatCode>0.00E+00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</c:numCache>
            </c:numRef>
          </c:xVal>
          <c:yVal>
            <c:numRef>
              <c:f>'Cr_FTC_3 (2)'!$I$4:$I$34</c:f>
              <c:numCache>
                <c:formatCode>0.00E+00</c:formatCode>
                <c:ptCount val="31"/>
                <c:pt idx="0">
                  <c:v>4.417424980106243E-2</c:v>
                </c:pt>
                <c:pt idx="1">
                  <c:v>5.267196731064528E-2</c:v>
                </c:pt>
                <c:pt idx="2">
                  <c:v>5.0959522233031157E-2</c:v>
                </c:pt>
                <c:pt idx="3">
                  <c:v>4.8814661988357863E-2</c:v>
                </c:pt>
                <c:pt idx="4">
                  <c:v>4.7214160923735024E-2</c:v>
                </c:pt>
                <c:pt idx="5">
                  <c:v>4.6095501657547083E-2</c:v>
                </c:pt>
                <c:pt idx="6">
                  <c:v>4.5352941893760844E-2</c:v>
                </c:pt>
                <c:pt idx="7">
                  <c:v>4.4927721383246112E-2</c:v>
                </c:pt>
                <c:pt idx="8">
                  <c:v>4.4796969649171535E-2</c:v>
                </c:pt>
                <c:pt idx="9">
                  <c:v>4.4955943951592171E-2</c:v>
                </c:pt>
                <c:pt idx="10">
                  <c:v>4.5405031894558738E-2</c:v>
                </c:pt>
                <c:pt idx="11">
                  <c:v>4.6143863930939319E-2</c:v>
                </c:pt>
                <c:pt idx="12">
                  <c:v>4.7169845162200713E-2</c:v>
                </c:pt>
                <c:pt idx="13">
                  <c:v>4.8479353747229004E-2</c:v>
                </c:pt>
                <c:pt idx="14">
                  <c:v>5.0069294393100837E-2</c:v>
                </c:pt>
                <c:pt idx="15">
                  <c:v>5.1938584117146788E-2</c:v>
                </c:pt>
                <c:pt idx="16">
                  <c:v>5.4088924950541836E-2</c:v>
                </c:pt>
                <c:pt idx="17">
                  <c:v>5.652539382978658E-2</c:v>
                </c:pt>
                <c:pt idx="18">
                  <c:v>5.9256499866937061E-2</c:v>
                </c:pt>
                <c:pt idx="19">
                  <c:v>6.2294038145431621E-2</c:v>
                </c:pt>
                <c:pt idx="20">
                  <c:v>6.566061386867926E-2</c:v>
                </c:pt>
                <c:pt idx="21">
                  <c:v>6.9377658464149269E-2</c:v>
                </c:pt>
                <c:pt idx="22">
                  <c:v>7.3466810288873793E-2</c:v>
                </c:pt>
                <c:pt idx="23">
                  <c:v>7.7951431493334319E-2</c:v>
                </c:pt>
                <c:pt idx="24">
                  <c:v>8.284970419860456E-2</c:v>
                </c:pt>
                <c:pt idx="25">
                  <c:v>8.8160608370314808E-2</c:v>
                </c:pt>
                <c:pt idx="26">
                  <c:v>9.3832072349971554E-2</c:v>
                </c:pt>
                <c:pt idx="27">
                  <c:v>9.9695845924642021E-2</c:v>
                </c:pt>
                <c:pt idx="28">
                  <c:v>0.10534294285146631</c:v>
                </c:pt>
                <c:pt idx="29">
                  <c:v>0.10991004371110279</c:v>
                </c:pt>
                <c:pt idx="30">
                  <c:v>0.1117837218683886</c:v>
                </c:pt>
              </c:numCache>
            </c:numRef>
          </c:yVal>
          <c:smooth val="1"/>
        </c:ser>
        <c:ser>
          <c:idx val="3"/>
          <c:order val="3"/>
          <c:tx>
            <c:v>25 Hours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'Cr_FTC_4 (2)'!$J$4:$J$34</c:f>
              <c:numCache>
                <c:formatCode>0.00E+00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0.70000000000000007</c:v>
                </c:pt>
                <c:pt idx="8">
                  <c:v>0.8</c:v>
                </c:pt>
                <c:pt idx="9">
                  <c:v>0.89999999999999991</c:v>
                </c:pt>
                <c:pt idx="10">
                  <c:v>1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1.7999999999999998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2.1999999999999997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</c:numCache>
            </c:numRef>
          </c:xVal>
          <c:yVal>
            <c:numRef>
              <c:f>'Cr_FTC_4 (2)'!$I$4:$I$34</c:f>
              <c:numCache>
                <c:formatCode>0.00E+00</c:formatCode>
                <c:ptCount val="31"/>
                <c:pt idx="0">
                  <c:v>3.5705250576616762E-4</c:v>
                </c:pt>
                <c:pt idx="1">
                  <c:v>1.1298521521571864E-3</c:v>
                </c:pt>
                <c:pt idx="2">
                  <c:v>1.3361524780317927E-3</c:v>
                </c:pt>
                <c:pt idx="3">
                  <c:v>1.3164356085764049E-3</c:v>
                </c:pt>
                <c:pt idx="4">
                  <c:v>1.2432329839134795E-3</c:v>
                </c:pt>
                <c:pt idx="5">
                  <c:v>1.1651918684390979E-3</c:v>
                </c:pt>
                <c:pt idx="6">
                  <c:v>1.0949881364263603E-3</c:v>
                </c:pt>
                <c:pt idx="7">
                  <c:v>1.0353003794547732E-3</c:v>
                </c:pt>
                <c:pt idx="8">
                  <c:v>9.8612383596853549E-4</c:v>
                </c:pt>
                <c:pt idx="9">
                  <c:v>9.4674639665342662E-4</c:v>
                </c:pt>
                <c:pt idx="10">
                  <c:v>9.1623059995515975E-4</c:v>
                </c:pt>
                <c:pt idx="11">
                  <c:v>8.9355394045152194E-4</c:v>
                </c:pt>
                <c:pt idx="12">
                  <c:v>8.776951214796246E-4</c:v>
                </c:pt>
                <c:pt idx="13">
                  <c:v>8.6769888885295074E-4</c:v>
                </c:pt>
                <c:pt idx="14">
                  <c:v>8.6271667803750507E-4</c:v>
                </c:pt>
                <c:pt idx="15">
                  <c:v>8.6202800215982932E-4</c:v>
                </c:pt>
                <c:pt idx="16">
                  <c:v>8.6503180598633404E-4</c:v>
                </c:pt>
                <c:pt idx="17">
                  <c:v>8.7123905468797995E-4</c:v>
                </c:pt>
                <c:pt idx="18">
                  <c:v>8.8025316366959839E-4</c:v>
                </c:pt>
                <c:pt idx="19">
                  <c:v>8.9174580933056686E-4</c:v>
                </c:pt>
                <c:pt idx="20">
                  <c:v>9.0563506623619536E-4</c:v>
                </c:pt>
                <c:pt idx="21">
                  <c:v>9.2177328173548008E-4</c:v>
                </c:pt>
                <c:pt idx="22">
                  <c:v>9.4002035946524226E-4</c:v>
                </c:pt>
                <c:pt idx="23">
                  <c:v>9.6032625582784074E-4</c:v>
                </c:pt>
                <c:pt idx="24">
                  <c:v>9.8268862466072701E-4</c:v>
                </c:pt>
                <c:pt idx="25">
                  <c:v>1.0070866760206712E-3</c:v>
                </c:pt>
                <c:pt idx="26">
                  <c:v>1.0333146491437529E-3</c:v>
                </c:pt>
                <c:pt idx="27">
                  <c:v>1.0606331017081825E-3</c:v>
                </c:pt>
                <c:pt idx="28">
                  <c:v>1.0871157940101368E-3</c:v>
                </c:pt>
                <c:pt idx="29">
                  <c:v>1.1086034945244137E-3</c:v>
                </c:pt>
                <c:pt idx="30">
                  <c:v>1.117407404166125E-3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431312"/>
        <c:axId val="332430752"/>
      </c:scatterChart>
      <c:valAx>
        <c:axId val="332431312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30752"/>
        <c:crossesAt val="1.0000000000000003E-4"/>
        <c:crossBetween val="midCat"/>
      </c:valAx>
      <c:valAx>
        <c:axId val="3324307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Ratio of Rates (Stage 1/Stage 2)</a:t>
                </a:r>
              </a:p>
            </c:rich>
          </c:tx>
          <c:layout>
            <c:manualLayout>
              <c:xMode val="edge"/>
              <c:yMode val="edge"/>
              <c:x val="7.8778926637124574E-3"/>
              <c:y val="0.12208854496223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31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457199</xdr:colOff>
      <xdr:row>3</xdr:row>
      <xdr:rowOff>19050</xdr:rowOff>
    </xdr:from>
    <xdr:to>
      <xdr:col>21</xdr:col>
      <xdr:colOff>200024</xdr:colOff>
      <xdr:row>27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L15" sqref="L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27</v>
      </c>
      <c r="G2" t="s">
        <v>26</v>
      </c>
      <c r="H2">
        <v>0.51</v>
      </c>
    </row>
    <row r="3" spans="1:10" x14ac:dyDescent="0.25">
      <c r="G3" t="s">
        <v>30</v>
      </c>
      <c r="H3" t="s">
        <v>31</v>
      </c>
      <c r="I3" t="s">
        <v>32</v>
      </c>
    </row>
    <row r="4" spans="1:10" x14ac:dyDescent="0.25">
      <c r="B4" s="1">
        <v>0</v>
      </c>
      <c r="C4" s="1">
        <v>0</v>
      </c>
      <c r="D4" s="1">
        <v>0</v>
      </c>
      <c r="E4" s="1">
        <v>-1.6471389999999999E-2</v>
      </c>
      <c r="F4" s="1">
        <v>-1.864896E-3</v>
      </c>
      <c r="G4" s="1">
        <f>SUM(E4:F4)</f>
        <v>-1.8336286E-2</v>
      </c>
      <c r="H4" s="1">
        <f>G4*$H$2</f>
        <v>-9.3515058599999996E-3</v>
      </c>
      <c r="I4" s="1">
        <f>Cr_FTC_4!O4/'Cr_FTC_4 (2)'!H4</f>
        <v>3.5705250576616762E-4</v>
      </c>
      <c r="J4" s="1">
        <f>D4*100</f>
        <v>0</v>
      </c>
    </row>
    <row r="5" spans="1:10" x14ac:dyDescent="0.25">
      <c r="B5" s="1">
        <v>0</v>
      </c>
      <c r="C5" s="1">
        <v>0</v>
      </c>
      <c r="D5" s="1">
        <v>1E-3</v>
      </c>
      <c r="E5" s="1">
        <v>-1.9968590000000001E-2</v>
      </c>
      <c r="F5" s="1">
        <v>-2.260855E-3</v>
      </c>
      <c r="G5" s="1">
        <f t="shared" ref="G5:G34" si="0">SUM(E5:F5)</f>
        <v>-2.2229445E-2</v>
      </c>
      <c r="H5" s="1">
        <f t="shared" ref="H5:H34" si="1">G5*$H$2</f>
        <v>-1.1337016950000001E-2</v>
      </c>
      <c r="I5" s="1">
        <f>Cr_FTC_4!O5/'Cr_FTC_4 (2)'!H5</f>
        <v>1.1298521521571864E-3</v>
      </c>
      <c r="J5" s="1">
        <f t="shared" ref="J5:J34" si="2">D5*100</f>
        <v>0.1</v>
      </c>
    </row>
    <row r="6" spans="1:10" x14ac:dyDescent="0.25">
      <c r="B6" s="1">
        <v>0</v>
      </c>
      <c r="C6" s="1">
        <v>0</v>
      </c>
      <c r="D6" s="1">
        <v>2E-3</v>
      </c>
      <c r="E6" s="1">
        <v>-2.1189010000000001E-2</v>
      </c>
      <c r="F6" s="1">
        <v>-2.3990370000000001E-3</v>
      </c>
      <c r="G6" s="1">
        <f t="shared" si="0"/>
        <v>-2.3588047000000001E-2</v>
      </c>
      <c r="H6" s="1">
        <f t="shared" si="1"/>
        <v>-1.202990397E-2</v>
      </c>
      <c r="I6" s="1">
        <f>Cr_FTC_4!O6/'Cr_FTC_4 (2)'!H6</f>
        <v>1.3361524780317927E-3</v>
      </c>
      <c r="J6" s="1">
        <f t="shared" si="2"/>
        <v>0.2</v>
      </c>
    </row>
    <row r="7" spans="1:10" x14ac:dyDescent="0.25">
      <c r="B7" s="1">
        <v>0</v>
      </c>
      <c r="C7" s="1">
        <v>0</v>
      </c>
      <c r="D7" s="1">
        <v>3.0000000000000001E-3</v>
      </c>
      <c r="E7" s="1">
        <v>-2.1781209999999999E-2</v>
      </c>
      <c r="F7" s="1">
        <v>-2.466092E-3</v>
      </c>
      <c r="G7" s="1">
        <f t="shared" si="0"/>
        <v>-2.4247301999999998E-2</v>
      </c>
      <c r="H7" s="1">
        <f t="shared" si="1"/>
        <v>-1.2366124019999999E-2</v>
      </c>
      <c r="I7" s="1">
        <f>Cr_FTC_4!O7/'Cr_FTC_4 (2)'!H7</f>
        <v>1.3164356085764049E-3</v>
      </c>
      <c r="J7" s="1">
        <f t="shared" si="2"/>
        <v>0.3</v>
      </c>
    </row>
    <row r="8" spans="1:10" x14ac:dyDescent="0.25">
      <c r="B8" s="1">
        <v>0</v>
      </c>
      <c r="C8" s="1">
        <v>0</v>
      </c>
      <c r="D8" s="1">
        <v>4.0000000000000001E-3</v>
      </c>
      <c r="E8" s="1">
        <v>-2.218962E-2</v>
      </c>
      <c r="F8" s="1">
        <v>-2.5123390000000002E-3</v>
      </c>
      <c r="G8" s="1">
        <f t="shared" si="0"/>
        <v>-2.4701958999999999E-2</v>
      </c>
      <c r="H8" s="1">
        <f t="shared" si="1"/>
        <v>-1.2597999089999999E-2</v>
      </c>
      <c r="I8" s="1">
        <f>Cr_FTC_4!O8/'Cr_FTC_4 (2)'!H8</f>
        <v>1.2432329839134795E-3</v>
      </c>
      <c r="J8" s="1">
        <f t="shared" si="2"/>
        <v>0.4</v>
      </c>
    </row>
    <row r="9" spans="1:10" x14ac:dyDescent="0.25">
      <c r="B9" s="1">
        <v>0</v>
      </c>
      <c r="C9" s="1">
        <v>0</v>
      </c>
      <c r="D9" s="1">
        <v>5.0000000000000001E-3</v>
      </c>
      <c r="E9" s="1">
        <v>-2.253604E-2</v>
      </c>
      <c r="F9" s="1">
        <v>-2.5515659999999999E-3</v>
      </c>
      <c r="G9" s="1">
        <f t="shared" si="0"/>
        <v>-2.5087605999999998E-2</v>
      </c>
      <c r="H9" s="1">
        <f t="shared" si="1"/>
        <v>-1.279467906E-2</v>
      </c>
      <c r="I9" s="1">
        <f>Cr_FTC_4!O9/'Cr_FTC_4 (2)'!H9</f>
        <v>1.1651918684390979E-3</v>
      </c>
      <c r="J9" s="1">
        <f t="shared" si="2"/>
        <v>0.5</v>
      </c>
    </row>
    <row r="10" spans="1:10" x14ac:dyDescent="0.25">
      <c r="B10" s="1">
        <v>0</v>
      </c>
      <c r="C10" s="1">
        <v>0</v>
      </c>
      <c r="D10" s="1">
        <v>6.0000000000000001E-3</v>
      </c>
      <c r="E10" s="1">
        <v>-2.2852839999999999E-2</v>
      </c>
      <c r="F10" s="1">
        <v>-2.5874409999999998E-3</v>
      </c>
      <c r="G10" s="1">
        <f t="shared" si="0"/>
        <v>-2.5440280999999999E-2</v>
      </c>
      <c r="H10" s="1">
        <f t="shared" si="1"/>
        <v>-1.2974543309999999E-2</v>
      </c>
      <c r="I10" s="1">
        <f>Cr_FTC_4!O10/'Cr_FTC_4 (2)'!H10</f>
        <v>1.0949881364263603E-3</v>
      </c>
      <c r="J10" s="1">
        <f t="shared" si="2"/>
        <v>0.6</v>
      </c>
    </row>
    <row r="11" spans="1:10" x14ac:dyDescent="0.25">
      <c r="B11" s="1">
        <v>0</v>
      </c>
      <c r="C11" s="1">
        <v>0</v>
      </c>
      <c r="D11" s="1">
        <v>7.0000000000000001E-3</v>
      </c>
      <c r="E11" s="1">
        <v>-2.3148720000000001E-2</v>
      </c>
      <c r="F11" s="1">
        <v>-2.6209480000000001E-3</v>
      </c>
      <c r="G11" s="1">
        <f t="shared" si="0"/>
        <v>-2.5769668000000003E-2</v>
      </c>
      <c r="H11" s="1">
        <f t="shared" si="1"/>
        <v>-1.3142530680000002E-2</v>
      </c>
      <c r="I11" s="1">
        <f>Cr_FTC_4!O11/'Cr_FTC_4 (2)'!H11</f>
        <v>1.0353003794547732E-3</v>
      </c>
      <c r="J11" s="1">
        <f t="shared" si="2"/>
        <v>0.70000000000000007</v>
      </c>
    </row>
    <row r="12" spans="1:10" x14ac:dyDescent="0.25">
      <c r="B12" s="1">
        <v>0</v>
      </c>
      <c r="C12" s="1">
        <v>0</v>
      </c>
      <c r="D12" s="1">
        <v>8.0000000000000002E-3</v>
      </c>
      <c r="E12" s="1">
        <v>-2.3426740000000001E-2</v>
      </c>
      <c r="F12" s="1">
        <v>-2.652433E-3</v>
      </c>
      <c r="G12" s="1">
        <f t="shared" si="0"/>
        <v>-2.6079173000000001E-2</v>
      </c>
      <c r="H12" s="1">
        <f t="shared" si="1"/>
        <v>-1.330037823E-2</v>
      </c>
      <c r="I12" s="1">
        <f>Cr_FTC_4!O12/'Cr_FTC_4 (2)'!H12</f>
        <v>9.8612383596853549E-4</v>
      </c>
      <c r="J12" s="1">
        <f t="shared" si="2"/>
        <v>0.8</v>
      </c>
    </row>
    <row r="13" spans="1:10" x14ac:dyDescent="0.25">
      <c r="B13" s="1">
        <v>0</v>
      </c>
      <c r="C13" s="1">
        <v>0</v>
      </c>
      <c r="D13" s="1">
        <v>8.9999999999999993E-3</v>
      </c>
      <c r="E13" s="1">
        <v>-2.3688859999999999E-2</v>
      </c>
      <c r="F13" s="1">
        <v>-2.6821169999999999E-3</v>
      </c>
      <c r="G13" s="1">
        <f t="shared" si="0"/>
        <v>-2.6370977E-2</v>
      </c>
      <c r="H13" s="1">
        <f t="shared" si="1"/>
        <v>-1.3449198270000001E-2</v>
      </c>
      <c r="I13" s="1">
        <f>Cr_FTC_4!O13/'Cr_FTC_4 (2)'!H13</f>
        <v>9.4674639665342662E-4</v>
      </c>
      <c r="J13" s="1">
        <f t="shared" si="2"/>
        <v>0.89999999999999991</v>
      </c>
    </row>
    <row r="14" spans="1:10" x14ac:dyDescent="0.25">
      <c r="B14" s="1">
        <v>0</v>
      </c>
      <c r="C14" s="1">
        <v>0</v>
      </c>
      <c r="D14" s="1">
        <v>0.01</v>
      </c>
      <c r="E14" s="1">
        <v>-2.3936949999999999E-2</v>
      </c>
      <c r="F14" s="1">
        <v>-2.7102139999999999E-3</v>
      </c>
      <c r="G14" s="1">
        <f t="shared" si="0"/>
        <v>-2.6647163999999997E-2</v>
      </c>
      <c r="H14" s="1">
        <f t="shared" si="1"/>
        <v>-1.3590053639999999E-2</v>
      </c>
      <c r="I14" s="1">
        <f>Cr_FTC_4!O14/'Cr_FTC_4 (2)'!H14</f>
        <v>9.1623059995515975E-4</v>
      </c>
      <c r="J14" s="1">
        <f t="shared" si="2"/>
        <v>1</v>
      </c>
    </row>
    <row r="15" spans="1:10" x14ac:dyDescent="0.25">
      <c r="B15" s="1">
        <v>0</v>
      </c>
      <c r="C15" s="1">
        <v>0</v>
      </c>
      <c r="D15" s="1">
        <v>1.0999999999999999E-2</v>
      </c>
      <c r="E15" s="1">
        <v>-2.417298E-2</v>
      </c>
      <c r="F15" s="1">
        <v>-2.7369439999999998E-3</v>
      </c>
      <c r="G15" s="1">
        <f t="shared" si="0"/>
        <v>-2.6909924000000002E-2</v>
      </c>
      <c r="H15" s="1">
        <f t="shared" si="1"/>
        <v>-1.3724061240000002E-2</v>
      </c>
      <c r="I15" s="1">
        <f>Cr_FTC_4!O15/'Cr_FTC_4 (2)'!H15</f>
        <v>8.9355394045152194E-4</v>
      </c>
      <c r="J15" s="1">
        <f t="shared" si="2"/>
        <v>1.0999999999999999</v>
      </c>
    </row>
    <row r="16" spans="1:10" x14ac:dyDescent="0.25">
      <c r="B16" s="1">
        <v>0</v>
      </c>
      <c r="C16" s="1">
        <v>0</v>
      </c>
      <c r="D16" s="1">
        <v>1.2E-2</v>
      </c>
      <c r="E16" s="1">
        <v>-2.4398880000000001E-2</v>
      </c>
      <c r="F16" s="1">
        <v>-2.7625280000000002E-3</v>
      </c>
      <c r="G16" s="1">
        <f t="shared" si="0"/>
        <v>-2.7161408000000001E-2</v>
      </c>
      <c r="H16" s="1">
        <f t="shared" si="1"/>
        <v>-1.385231808E-2</v>
      </c>
      <c r="I16" s="1">
        <f>Cr_FTC_4!O16/'Cr_FTC_4 (2)'!H16</f>
        <v>8.776951214796246E-4</v>
      </c>
      <c r="J16" s="1">
        <f t="shared" si="2"/>
        <v>1.2</v>
      </c>
    </row>
    <row r="17" spans="2:10" x14ac:dyDescent="0.25">
      <c r="B17" s="1">
        <v>0</v>
      </c>
      <c r="C17" s="1">
        <v>0</v>
      </c>
      <c r="D17" s="1">
        <v>1.2999999999999999E-2</v>
      </c>
      <c r="E17" s="1">
        <v>-2.4616499999999999E-2</v>
      </c>
      <c r="F17" s="1">
        <v>-2.7871760000000001E-3</v>
      </c>
      <c r="G17" s="1">
        <f t="shared" si="0"/>
        <v>-2.7403675999999998E-2</v>
      </c>
      <c r="H17" s="1">
        <f t="shared" si="1"/>
        <v>-1.397587476E-2</v>
      </c>
      <c r="I17" s="1">
        <f>Cr_FTC_4!O17/'Cr_FTC_4 (2)'!H17</f>
        <v>8.6769888885295074E-4</v>
      </c>
      <c r="J17" s="1">
        <f t="shared" si="2"/>
        <v>1.3</v>
      </c>
    </row>
    <row r="18" spans="2:10" x14ac:dyDescent="0.25">
      <c r="B18" s="1">
        <v>0</v>
      </c>
      <c r="C18" s="1">
        <v>0</v>
      </c>
      <c r="D18" s="1">
        <v>1.4E-2</v>
      </c>
      <c r="E18" s="1">
        <v>-2.4827559999999999E-2</v>
      </c>
      <c r="F18" s="1">
        <v>-2.8110800000000001E-3</v>
      </c>
      <c r="G18" s="1">
        <f t="shared" si="0"/>
        <v>-2.7638639999999999E-2</v>
      </c>
      <c r="H18" s="1">
        <f t="shared" si="1"/>
        <v>-1.40957064E-2</v>
      </c>
      <c r="I18" s="1">
        <f>Cr_FTC_4!O18/'Cr_FTC_4 (2)'!H18</f>
        <v>8.6271667803750507E-4</v>
      </c>
      <c r="J18" s="1">
        <f t="shared" si="2"/>
        <v>1.4000000000000001</v>
      </c>
    </row>
    <row r="19" spans="2:10" x14ac:dyDescent="0.25">
      <c r="B19" s="1">
        <v>0</v>
      </c>
      <c r="C19" s="1">
        <v>0</v>
      </c>
      <c r="D19" s="1">
        <v>1.4999999999999999E-2</v>
      </c>
      <c r="E19" s="1">
        <v>-2.5033550000000002E-2</v>
      </c>
      <c r="F19" s="1">
        <v>-2.8344109999999998E-3</v>
      </c>
      <c r="G19" s="1">
        <f t="shared" si="0"/>
        <v>-2.7867961E-2</v>
      </c>
      <c r="H19" s="1">
        <f t="shared" si="1"/>
        <v>-1.4212660110000001E-2</v>
      </c>
      <c r="I19" s="1">
        <f>Cr_FTC_4!O19/'Cr_FTC_4 (2)'!H19</f>
        <v>8.6202800215982932E-4</v>
      </c>
      <c r="J19" s="1">
        <f t="shared" si="2"/>
        <v>1.5</v>
      </c>
    </row>
    <row r="20" spans="2:10" x14ac:dyDescent="0.25">
      <c r="B20" s="1">
        <v>0</v>
      </c>
      <c r="C20" s="1">
        <v>0</v>
      </c>
      <c r="D20" s="1">
        <v>1.6E-2</v>
      </c>
      <c r="E20" s="1">
        <v>-2.5235779999999999E-2</v>
      </c>
      <c r="F20" s="1">
        <v>-2.8573159999999999E-3</v>
      </c>
      <c r="G20" s="1">
        <f t="shared" si="0"/>
        <v>-2.8093095999999998E-2</v>
      </c>
      <c r="H20" s="1">
        <f t="shared" si="1"/>
        <v>-1.4327478959999999E-2</v>
      </c>
      <c r="I20" s="1">
        <f>Cr_FTC_4!O20/'Cr_FTC_4 (2)'!H20</f>
        <v>8.6503180598633404E-4</v>
      </c>
      <c r="J20" s="1">
        <f t="shared" si="2"/>
        <v>1.6</v>
      </c>
    </row>
    <row r="21" spans="2:10" x14ac:dyDescent="0.25">
      <c r="B21" s="1">
        <v>0</v>
      </c>
      <c r="C21" s="1">
        <v>0</v>
      </c>
      <c r="D21" s="1">
        <v>1.7000000000000001E-2</v>
      </c>
      <c r="E21" s="1">
        <v>-2.5435369999999999E-2</v>
      </c>
      <c r="F21" s="1">
        <v>-2.879922E-3</v>
      </c>
      <c r="G21" s="1">
        <f t="shared" si="0"/>
        <v>-2.8315291999999999E-2</v>
      </c>
      <c r="H21" s="1">
        <f t="shared" si="1"/>
        <v>-1.4440798919999999E-2</v>
      </c>
      <c r="I21" s="1">
        <f>Cr_FTC_4!O21/'Cr_FTC_4 (2)'!H21</f>
        <v>8.7123905468797995E-4</v>
      </c>
      <c r="J21" s="1">
        <f t="shared" si="2"/>
        <v>1.7000000000000002</v>
      </c>
    </row>
    <row r="22" spans="2:10" x14ac:dyDescent="0.25">
      <c r="B22" s="1">
        <v>0</v>
      </c>
      <c r="C22" s="1">
        <v>0</v>
      </c>
      <c r="D22" s="1">
        <v>1.7999999999999999E-2</v>
      </c>
      <c r="E22" s="1">
        <v>-2.563323E-2</v>
      </c>
      <c r="F22" s="1">
        <v>-2.902333E-3</v>
      </c>
      <c r="G22" s="1">
        <f t="shared" si="0"/>
        <v>-2.8535563E-2</v>
      </c>
      <c r="H22" s="1">
        <f t="shared" si="1"/>
        <v>-1.4553137130000001E-2</v>
      </c>
      <c r="I22" s="1">
        <f>Cr_FTC_4!O22/'Cr_FTC_4 (2)'!H22</f>
        <v>8.8025316366959839E-4</v>
      </c>
      <c r="J22" s="1">
        <f t="shared" si="2"/>
        <v>1.7999999999999998</v>
      </c>
    </row>
    <row r="23" spans="2:10" x14ac:dyDescent="0.25">
      <c r="B23" s="1">
        <v>0</v>
      </c>
      <c r="C23" s="1">
        <v>0</v>
      </c>
      <c r="D23" s="1">
        <v>1.9E-2</v>
      </c>
      <c r="E23" s="1">
        <v>-2.583011E-2</v>
      </c>
      <c r="F23" s="1">
        <v>-2.9246329999999998E-3</v>
      </c>
      <c r="G23" s="1">
        <f t="shared" si="0"/>
        <v>-2.8754742999999999E-2</v>
      </c>
      <c r="H23" s="1">
        <f t="shared" si="1"/>
        <v>-1.466491893E-2</v>
      </c>
      <c r="I23" s="1">
        <f>Cr_FTC_4!O23/'Cr_FTC_4 (2)'!H23</f>
        <v>8.9174580933056686E-4</v>
      </c>
      <c r="J23" s="1">
        <f t="shared" si="2"/>
        <v>1.9</v>
      </c>
    </row>
    <row r="24" spans="2:10" x14ac:dyDescent="0.25">
      <c r="B24" s="1">
        <v>0</v>
      </c>
      <c r="C24" s="1">
        <v>0</v>
      </c>
      <c r="D24" s="1">
        <v>0.02</v>
      </c>
      <c r="E24" s="1">
        <v>-2.6026480000000001E-2</v>
      </c>
      <c r="F24" s="1">
        <v>-2.9468749999999998E-3</v>
      </c>
      <c r="G24" s="1">
        <f t="shared" si="0"/>
        <v>-2.8973354999999999E-2</v>
      </c>
      <c r="H24" s="1">
        <f t="shared" si="1"/>
        <v>-1.477641105E-2</v>
      </c>
      <c r="I24" s="1">
        <f>Cr_FTC_4!O24/'Cr_FTC_4 (2)'!H24</f>
        <v>9.0563506623619536E-4</v>
      </c>
      <c r="J24" s="1">
        <f t="shared" si="2"/>
        <v>2</v>
      </c>
    </row>
    <row r="25" spans="2:10" x14ac:dyDescent="0.25">
      <c r="B25" s="1">
        <v>0</v>
      </c>
      <c r="C25" s="1">
        <v>0</v>
      </c>
      <c r="D25" s="1">
        <v>2.1000000000000001E-2</v>
      </c>
      <c r="E25" s="1">
        <v>-2.622265E-2</v>
      </c>
      <c r="F25" s="1">
        <v>-2.9690950000000002E-3</v>
      </c>
      <c r="G25" s="1">
        <f t="shared" si="0"/>
        <v>-2.9191745000000002E-2</v>
      </c>
      <c r="H25" s="1">
        <f t="shared" si="1"/>
        <v>-1.4887789950000001E-2</v>
      </c>
      <c r="I25" s="1">
        <f>Cr_FTC_4!O25/'Cr_FTC_4 (2)'!H25</f>
        <v>9.2177328173548008E-4</v>
      </c>
      <c r="J25" s="1">
        <f t="shared" si="2"/>
        <v>2.1</v>
      </c>
    </row>
    <row r="26" spans="2:10" x14ac:dyDescent="0.25">
      <c r="B26" s="1">
        <v>0</v>
      </c>
      <c r="C26" s="1">
        <v>0</v>
      </c>
      <c r="D26" s="1">
        <v>2.1999999999999999E-2</v>
      </c>
      <c r="E26" s="1">
        <v>-2.6418779999999999E-2</v>
      </c>
      <c r="F26" s="1">
        <v>-2.991311E-3</v>
      </c>
      <c r="G26" s="1">
        <f t="shared" si="0"/>
        <v>-2.9410090999999999E-2</v>
      </c>
      <c r="H26" s="1">
        <f t="shared" si="1"/>
        <v>-1.4999146410000001E-2</v>
      </c>
      <c r="I26" s="1">
        <f>Cr_FTC_4!O26/'Cr_FTC_4 (2)'!H26</f>
        <v>9.4002035946524226E-4</v>
      </c>
      <c r="J26" s="1">
        <f t="shared" si="2"/>
        <v>2.1999999999999997</v>
      </c>
    </row>
    <row r="27" spans="2:10" x14ac:dyDescent="0.25">
      <c r="B27" s="1">
        <v>0</v>
      </c>
      <c r="C27" s="1">
        <v>0</v>
      </c>
      <c r="D27" s="1">
        <v>2.3E-2</v>
      </c>
      <c r="E27" s="1">
        <v>-2.6614659999999998E-2</v>
      </c>
      <c r="F27" s="1">
        <v>-3.0134979999999999E-3</v>
      </c>
      <c r="G27" s="1">
        <f t="shared" si="0"/>
        <v>-2.9628157999999998E-2</v>
      </c>
      <c r="H27" s="1">
        <f t="shared" si="1"/>
        <v>-1.5110360579999999E-2</v>
      </c>
      <c r="I27" s="1">
        <f>Cr_FTC_4!O27/'Cr_FTC_4 (2)'!H27</f>
        <v>9.6032625582784074E-4</v>
      </c>
      <c r="J27" s="1">
        <f t="shared" si="2"/>
        <v>2.2999999999999998</v>
      </c>
    </row>
    <row r="28" spans="2:10" x14ac:dyDescent="0.25">
      <c r="B28" s="1">
        <v>0</v>
      </c>
      <c r="C28" s="1">
        <v>0</v>
      </c>
      <c r="D28" s="1">
        <v>2.4E-2</v>
      </c>
      <c r="E28" s="1">
        <v>-2.68095E-2</v>
      </c>
      <c r="F28" s="1">
        <v>-3.0355669999999999E-3</v>
      </c>
      <c r="G28" s="1">
        <f t="shared" si="0"/>
        <v>-2.9845066999999999E-2</v>
      </c>
      <c r="H28" s="1">
        <f t="shared" si="1"/>
        <v>-1.522098417E-2</v>
      </c>
      <c r="I28" s="1">
        <f>Cr_FTC_4!O28/'Cr_FTC_4 (2)'!H28</f>
        <v>9.8268862466072701E-4</v>
      </c>
      <c r="J28" s="1">
        <f t="shared" si="2"/>
        <v>2.4</v>
      </c>
    </row>
    <row r="29" spans="2:10" x14ac:dyDescent="0.25">
      <c r="B29" s="1">
        <v>0</v>
      </c>
      <c r="C29" s="1">
        <v>0</v>
      </c>
      <c r="D29" s="1">
        <v>2.5000000000000001E-2</v>
      </c>
      <c r="E29" s="1">
        <v>-2.700164E-2</v>
      </c>
      <c r="F29" s="1">
        <v>-3.0573319999999998E-3</v>
      </c>
      <c r="G29" s="1">
        <f t="shared" si="0"/>
        <v>-3.0058972E-2</v>
      </c>
      <c r="H29" s="1">
        <f t="shared" si="1"/>
        <v>-1.5330075720000001E-2</v>
      </c>
      <c r="I29" s="1">
        <f>Cr_FTC_4!O29/'Cr_FTC_4 (2)'!H29</f>
        <v>1.0070866760206712E-3</v>
      </c>
      <c r="J29" s="1">
        <f t="shared" si="2"/>
        <v>2.5</v>
      </c>
    </row>
    <row r="30" spans="2:10" x14ac:dyDescent="0.25">
      <c r="B30" s="1">
        <v>0</v>
      </c>
      <c r="C30" s="1">
        <v>0</v>
      </c>
      <c r="D30" s="1">
        <v>2.5999999999999999E-2</v>
      </c>
      <c r="E30" s="1">
        <v>-2.7188E-2</v>
      </c>
      <c r="F30" s="1">
        <v>-3.0784409999999999E-3</v>
      </c>
      <c r="G30" s="1">
        <f t="shared" si="0"/>
        <v>-3.0266441000000002E-2</v>
      </c>
      <c r="H30" s="1">
        <f t="shared" si="1"/>
        <v>-1.5435884910000001E-2</v>
      </c>
      <c r="I30" s="1">
        <f>Cr_FTC_4!O30/'Cr_FTC_4 (2)'!H30</f>
        <v>1.0333146491437529E-3</v>
      </c>
      <c r="J30" s="1">
        <f t="shared" si="2"/>
        <v>2.6</v>
      </c>
    </row>
    <row r="31" spans="2:10" x14ac:dyDescent="0.25">
      <c r="B31" s="1">
        <v>0</v>
      </c>
      <c r="C31" s="1">
        <v>0</v>
      </c>
      <c r="D31" s="1">
        <v>2.7E-2</v>
      </c>
      <c r="E31" s="1">
        <v>-2.736305E-2</v>
      </c>
      <c r="F31" s="1">
        <v>-3.0982700000000002E-3</v>
      </c>
      <c r="G31" s="1">
        <f t="shared" si="0"/>
        <v>-3.046132E-2</v>
      </c>
      <c r="H31" s="1">
        <f t="shared" si="1"/>
        <v>-1.55352732E-2</v>
      </c>
      <c r="I31" s="1">
        <f>Cr_FTC_4!O31/'Cr_FTC_4 (2)'!H31</f>
        <v>1.0606331017081825E-3</v>
      </c>
      <c r="J31" s="1">
        <f t="shared" si="2"/>
        <v>2.7</v>
      </c>
    </row>
    <row r="32" spans="2:10" x14ac:dyDescent="0.25">
      <c r="B32" s="1">
        <v>0</v>
      </c>
      <c r="C32" s="1">
        <v>0</v>
      </c>
      <c r="D32" s="1">
        <v>2.8000000000000001E-2</v>
      </c>
      <c r="E32" s="1">
        <v>-2.7517010000000001E-2</v>
      </c>
      <c r="F32" s="1">
        <v>-3.1157099999999998E-3</v>
      </c>
      <c r="G32" s="1">
        <f t="shared" si="0"/>
        <v>-3.0632720000000002E-2</v>
      </c>
      <c r="H32" s="1">
        <f t="shared" si="1"/>
        <v>-1.5622687200000001E-2</v>
      </c>
      <c r="I32" s="1">
        <f>Cr_FTC_4!O32/'Cr_FTC_4 (2)'!H32</f>
        <v>1.0871157940101368E-3</v>
      </c>
      <c r="J32" s="1">
        <f t="shared" si="2"/>
        <v>2.8000000000000003</v>
      </c>
    </row>
    <row r="33" spans="2:10" x14ac:dyDescent="0.25">
      <c r="B33" s="1">
        <v>0</v>
      </c>
      <c r="C33" s="1">
        <v>0</v>
      </c>
      <c r="D33" s="1">
        <v>2.9000000000000001E-2</v>
      </c>
      <c r="E33" s="1">
        <v>-2.7632449999999999E-2</v>
      </c>
      <c r="F33" s="1">
        <v>-3.1287860000000002E-3</v>
      </c>
      <c r="G33" s="1">
        <f t="shared" si="0"/>
        <v>-3.0761236000000001E-2</v>
      </c>
      <c r="H33" s="1">
        <f t="shared" si="1"/>
        <v>-1.5688230359999999E-2</v>
      </c>
      <c r="I33" s="1">
        <f>Cr_FTC_4!O33/'Cr_FTC_4 (2)'!H33</f>
        <v>1.1086034945244137E-3</v>
      </c>
      <c r="J33" s="1">
        <f t="shared" si="2"/>
        <v>2.9000000000000004</v>
      </c>
    </row>
    <row r="34" spans="2:10" x14ac:dyDescent="0.25">
      <c r="B34" s="1">
        <v>0</v>
      </c>
      <c r="C34" s="1">
        <v>0</v>
      </c>
      <c r="D34" s="1">
        <v>0.03</v>
      </c>
      <c r="E34" s="1">
        <v>-2.7677739999999999E-2</v>
      </c>
      <c r="F34" s="1">
        <v>-3.133916E-3</v>
      </c>
      <c r="G34" s="1">
        <f t="shared" si="0"/>
        <v>-3.0811656E-2</v>
      </c>
      <c r="H34" s="1">
        <f t="shared" si="1"/>
        <v>-1.5713944560000002E-2</v>
      </c>
      <c r="I34" s="1">
        <f>Cr_FTC_4!O34/'Cr_FTC_4 (2)'!H34</f>
        <v>1.117407404166125E-3</v>
      </c>
      <c r="J34" s="1">
        <f t="shared" si="2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J4" sqref="J4:J3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27</v>
      </c>
      <c r="G2" t="s">
        <v>26</v>
      </c>
      <c r="H2">
        <v>0.51</v>
      </c>
    </row>
    <row r="3" spans="1:10" x14ac:dyDescent="0.25">
      <c r="G3" t="s">
        <v>29</v>
      </c>
      <c r="H3" t="s">
        <v>31</v>
      </c>
      <c r="I3" t="s">
        <v>32</v>
      </c>
    </row>
    <row r="4" spans="1:10" x14ac:dyDescent="0.25">
      <c r="B4" s="1">
        <v>0</v>
      </c>
      <c r="C4" s="1">
        <v>0</v>
      </c>
      <c r="D4" s="1">
        <v>0</v>
      </c>
      <c r="E4" s="1">
        <v>-3.1375380000000001E-2</v>
      </c>
      <c r="F4" s="1">
        <v>-3.5523429999999999E-3</v>
      </c>
      <c r="G4" s="1">
        <f>SUM(E4:F4)</f>
        <v>-3.4927723000000001E-2</v>
      </c>
      <c r="H4" s="1">
        <f>G4*$H$2</f>
        <v>-1.7813138730000001E-2</v>
      </c>
      <c r="I4" s="1">
        <f>Cr_FTC_3!O4/'Cr_FTC_3 (2)'!H4</f>
        <v>4.417424980106243E-2</v>
      </c>
      <c r="J4" s="1">
        <f>D4*100</f>
        <v>0</v>
      </c>
    </row>
    <row r="5" spans="1:10" x14ac:dyDescent="0.25">
      <c r="B5" s="1">
        <v>0</v>
      </c>
      <c r="C5" s="1">
        <v>0</v>
      </c>
      <c r="D5" s="1">
        <v>1E-3</v>
      </c>
      <c r="E5" s="1">
        <v>-3.9625720000000003E-2</v>
      </c>
      <c r="F5" s="1">
        <v>-4.4864709999999997E-3</v>
      </c>
      <c r="G5" s="1">
        <f t="shared" ref="G5:G34" si="0">SUM(E5:F5)</f>
        <v>-4.4112191000000002E-2</v>
      </c>
      <c r="H5" s="1">
        <f t="shared" ref="H5:H34" si="1">G5*$H$2</f>
        <v>-2.2497217410000003E-2</v>
      </c>
      <c r="I5" s="1">
        <f>Cr_FTC_3!O5/'Cr_FTC_3 (2)'!H5</f>
        <v>5.267196731064528E-2</v>
      </c>
      <c r="J5" s="1">
        <f t="shared" ref="J5:J34" si="2">D5*100</f>
        <v>0.1</v>
      </c>
    </row>
    <row r="6" spans="1:10" x14ac:dyDescent="0.25">
      <c r="B6" s="1">
        <v>0</v>
      </c>
      <c r="C6" s="1">
        <v>0</v>
      </c>
      <c r="D6" s="1">
        <v>2E-3</v>
      </c>
      <c r="E6" s="1">
        <v>-4.3228339999999997E-2</v>
      </c>
      <c r="F6" s="1">
        <v>-4.894387E-3</v>
      </c>
      <c r="G6" s="1">
        <f t="shared" si="0"/>
        <v>-4.8122726999999997E-2</v>
      </c>
      <c r="H6" s="1">
        <f t="shared" si="1"/>
        <v>-2.4542590769999997E-2</v>
      </c>
      <c r="I6" s="1">
        <f>Cr_FTC_3!O6/'Cr_FTC_3 (2)'!H6</f>
        <v>5.0959522233031157E-2</v>
      </c>
      <c r="J6" s="1">
        <f t="shared" si="2"/>
        <v>0.2</v>
      </c>
    </row>
    <row r="7" spans="1:10" x14ac:dyDescent="0.25">
      <c r="B7" s="1">
        <v>0</v>
      </c>
      <c r="C7" s="1">
        <v>0</v>
      </c>
      <c r="D7" s="1">
        <v>3.0000000000000001E-3</v>
      </c>
      <c r="E7" s="1">
        <v>-4.5234200000000002E-2</v>
      </c>
      <c r="F7" s="1">
        <v>-5.1215200000000001E-3</v>
      </c>
      <c r="G7" s="1">
        <f t="shared" si="0"/>
        <v>-5.035572E-2</v>
      </c>
      <c r="H7" s="1">
        <f t="shared" si="1"/>
        <v>-2.5681417200000001E-2</v>
      </c>
      <c r="I7" s="1">
        <f>Cr_FTC_3!O7/'Cr_FTC_3 (2)'!H7</f>
        <v>4.8814661988357863E-2</v>
      </c>
      <c r="J7" s="1">
        <f t="shared" si="2"/>
        <v>0.3</v>
      </c>
    </row>
    <row r="8" spans="1:10" x14ac:dyDescent="0.25">
      <c r="B8" s="1">
        <v>0</v>
      </c>
      <c r="C8" s="1">
        <v>0</v>
      </c>
      <c r="D8" s="1">
        <v>4.0000000000000001E-3</v>
      </c>
      <c r="E8" s="1">
        <v>-4.6652489999999998E-2</v>
      </c>
      <c r="F8" s="1">
        <v>-5.2821279999999996E-3</v>
      </c>
      <c r="G8" s="1">
        <f t="shared" si="0"/>
        <v>-5.1934617999999995E-2</v>
      </c>
      <c r="H8" s="1">
        <f t="shared" si="1"/>
        <v>-2.6486655179999999E-2</v>
      </c>
      <c r="I8" s="1">
        <f>Cr_FTC_3!O8/'Cr_FTC_3 (2)'!H8</f>
        <v>4.7214160923735024E-2</v>
      </c>
      <c r="J8" s="1">
        <f t="shared" si="2"/>
        <v>0.4</v>
      </c>
    </row>
    <row r="9" spans="1:10" x14ac:dyDescent="0.25">
      <c r="B9" s="1">
        <v>0</v>
      </c>
      <c r="C9" s="1">
        <v>0</v>
      </c>
      <c r="D9" s="1">
        <v>5.0000000000000001E-3</v>
      </c>
      <c r="E9" s="1">
        <v>-4.7842910000000002E-2</v>
      </c>
      <c r="F9" s="1">
        <v>-5.4169379999999996E-3</v>
      </c>
      <c r="G9" s="1">
        <f t="shared" si="0"/>
        <v>-5.3259847999999999E-2</v>
      </c>
      <c r="H9" s="1">
        <f t="shared" si="1"/>
        <v>-2.716252248E-2</v>
      </c>
      <c r="I9" s="1">
        <f>Cr_FTC_3!O9/'Cr_FTC_3 (2)'!H9</f>
        <v>4.6095501657547083E-2</v>
      </c>
      <c r="J9" s="1">
        <f t="shared" si="2"/>
        <v>0.5</v>
      </c>
    </row>
    <row r="10" spans="1:10" x14ac:dyDescent="0.25">
      <c r="B10" s="1">
        <v>0</v>
      </c>
      <c r="C10" s="1">
        <v>0</v>
      </c>
      <c r="D10" s="1">
        <v>6.0000000000000001E-3</v>
      </c>
      <c r="E10" s="1">
        <v>-4.8939509999999999E-2</v>
      </c>
      <c r="F10" s="1">
        <v>-5.5411289999999997E-3</v>
      </c>
      <c r="G10" s="1">
        <f t="shared" si="0"/>
        <v>-5.4480638999999997E-2</v>
      </c>
      <c r="H10" s="1">
        <f t="shared" si="1"/>
        <v>-2.7785125889999998E-2</v>
      </c>
      <c r="I10" s="1">
        <f>Cr_FTC_3!O10/'Cr_FTC_3 (2)'!H10</f>
        <v>4.5352941893760844E-2</v>
      </c>
      <c r="J10" s="1">
        <f t="shared" si="2"/>
        <v>0.6</v>
      </c>
    </row>
    <row r="11" spans="1:10" x14ac:dyDescent="0.25">
      <c r="B11" s="1">
        <v>0</v>
      </c>
      <c r="C11" s="1">
        <v>0</v>
      </c>
      <c r="D11" s="1">
        <v>7.0000000000000001E-3</v>
      </c>
      <c r="E11" s="1">
        <v>-4.9994009999999998E-2</v>
      </c>
      <c r="F11" s="1">
        <v>-5.6605539999999999E-3</v>
      </c>
      <c r="G11" s="1">
        <f t="shared" si="0"/>
        <v>-5.5654563999999997E-2</v>
      </c>
      <c r="H11" s="1">
        <f t="shared" si="1"/>
        <v>-2.8383827639999998E-2</v>
      </c>
      <c r="I11" s="1">
        <f>Cr_FTC_3!O11/'Cr_FTC_3 (2)'!H11</f>
        <v>4.4927721383246112E-2</v>
      </c>
      <c r="J11" s="1">
        <f t="shared" si="2"/>
        <v>0.70000000000000007</v>
      </c>
    </row>
    <row r="12" spans="1:10" x14ac:dyDescent="0.25">
      <c r="B12" s="1">
        <v>0</v>
      </c>
      <c r="C12" s="1">
        <v>0</v>
      </c>
      <c r="D12" s="1">
        <v>8.0000000000000002E-3</v>
      </c>
      <c r="E12" s="1">
        <v>-5.1026969999999998E-2</v>
      </c>
      <c r="F12" s="1">
        <v>-5.7775420000000001E-3</v>
      </c>
      <c r="G12" s="1">
        <f t="shared" si="0"/>
        <v>-5.6804512000000001E-2</v>
      </c>
      <c r="H12" s="1">
        <f t="shared" si="1"/>
        <v>-2.897030112E-2</v>
      </c>
      <c r="I12" s="1">
        <f>Cr_FTC_3!O12/'Cr_FTC_3 (2)'!H12</f>
        <v>4.4796969649171535E-2</v>
      </c>
      <c r="J12" s="1">
        <f t="shared" si="2"/>
        <v>0.8</v>
      </c>
    </row>
    <row r="13" spans="1:10" x14ac:dyDescent="0.25">
      <c r="B13" s="1">
        <v>0</v>
      </c>
      <c r="C13" s="1">
        <v>0</v>
      </c>
      <c r="D13" s="1">
        <v>8.9999999999999993E-3</v>
      </c>
      <c r="E13" s="1">
        <v>-5.2046990000000001E-2</v>
      </c>
      <c r="F13" s="1">
        <v>-5.8930679999999996E-3</v>
      </c>
      <c r="G13" s="1">
        <f t="shared" si="0"/>
        <v>-5.7940058000000003E-2</v>
      </c>
      <c r="H13" s="1">
        <f t="shared" si="1"/>
        <v>-2.9549429580000001E-2</v>
      </c>
      <c r="I13" s="1">
        <f>Cr_FTC_3!O13/'Cr_FTC_3 (2)'!H13</f>
        <v>4.4955943951592171E-2</v>
      </c>
      <c r="J13" s="1">
        <f t="shared" si="2"/>
        <v>0.89999999999999991</v>
      </c>
    </row>
    <row r="14" spans="1:10" x14ac:dyDescent="0.25">
      <c r="B14" s="1">
        <v>0</v>
      </c>
      <c r="C14" s="1">
        <v>0</v>
      </c>
      <c r="D14" s="1">
        <v>0.01</v>
      </c>
      <c r="E14" s="1">
        <v>-5.3058330000000001E-2</v>
      </c>
      <c r="F14" s="1">
        <v>-6.0076119999999998E-3</v>
      </c>
      <c r="G14" s="1">
        <f t="shared" si="0"/>
        <v>-5.9065942000000003E-2</v>
      </c>
      <c r="H14" s="1">
        <f t="shared" si="1"/>
        <v>-3.0123630420000002E-2</v>
      </c>
      <c r="I14" s="1">
        <f>Cr_FTC_3!O14/'Cr_FTC_3 (2)'!H14</f>
        <v>4.5405031894558738E-2</v>
      </c>
      <c r="J14" s="1">
        <f t="shared" si="2"/>
        <v>1</v>
      </c>
    </row>
    <row r="15" spans="1:10" x14ac:dyDescent="0.25">
      <c r="B15" s="1">
        <v>0</v>
      </c>
      <c r="C15" s="1">
        <v>0</v>
      </c>
      <c r="D15" s="1">
        <v>1.0999999999999999E-2</v>
      </c>
      <c r="E15" s="1">
        <v>-5.4063970000000003E-2</v>
      </c>
      <c r="F15" s="1">
        <v>-6.1215139999999998E-3</v>
      </c>
      <c r="G15" s="1">
        <f t="shared" si="0"/>
        <v>-6.0185484000000004E-2</v>
      </c>
      <c r="H15" s="1">
        <f t="shared" si="1"/>
        <v>-3.0694596840000001E-2</v>
      </c>
      <c r="I15" s="1">
        <f>Cr_FTC_3!O15/'Cr_FTC_3 (2)'!H15</f>
        <v>4.6143863930939319E-2</v>
      </c>
      <c r="J15" s="1">
        <f t="shared" si="2"/>
        <v>1.0999999999999999</v>
      </c>
    </row>
    <row r="16" spans="1:10" x14ac:dyDescent="0.25">
      <c r="B16" s="1">
        <v>0</v>
      </c>
      <c r="C16" s="1">
        <v>0</v>
      </c>
      <c r="D16" s="1">
        <v>1.2E-2</v>
      </c>
      <c r="E16" s="1">
        <v>-5.5066850000000001E-2</v>
      </c>
      <c r="F16" s="1">
        <v>-6.2351050000000003E-3</v>
      </c>
      <c r="G16" s="1">
        <f t="shared" si="0"/>
        <v>-6.1301954999999998E-2</v>
      </c>
      <c r="H16" s="1">
        <f t="shared" si="1"/>
        <v>-3.1263997049999999E-2</v>
      </c>
      <c r="I16" s="1">
        <f>Cr_FTC_3!O16/'Cr_FTC_3 (2)'!H16</f>
        <v>4.7169845162200713E-2</v>
      </c>
      <c r="J16" s="1">
        <f t="shared" si="2"/>
        <v>1.2</v>
      </c>
    </row>
    <row r="17" spans="2:10" x14ac:dyDescent="0.25">
      <c r="B17" s="1">
        <v>0</v>
      </c>
      <c r="C17" s="1">
        <v>0</v>
      </c>
      <c r="D17" s="1">
        <v>1.2999999999999999E-2</v>
      </c>
      <c r="E17" s="1">
        <v>-5.6070139999999997E-2</v>
      </c>
      <c r="F17" s="1">
        <v>-6.3487459999999997E-3</v>
      </c>
      <c r="G17" s="1">
        <f t="shared" si="0"/>
        <v>-6.2418886E-2</v>
      </c>
      <c r="H17" s="1">
        <f t="shared" si="1"/>
        <v>-3.1833631860000003E-2</v>
      </c>
      <c r="I17" s="1">
        <f>Cr_FTC_3!O17/'Cr_FTC_3 (2)'!H17</f>
        <v>4.8479353747229004E-2</v>
      </c>
      <c r="J17" s="1">
        <f t="shared" si="2"/>
        <v>1.3</v>
      </c>
    </row>
    <row r="18" spans="2:10" x14ac:dyDescent="0.25">
      <c r="B18" s="1">
        <v>0</v>
      </c>
      <c r="C18" s="1">
        <v>0</v>
      </c>
      <c r="D18" s="1">
        <v>1.4E-2</v>
      </c>
      <c r="E18" s="1">
        <v>-5.7077250000000003E-2</v>
      </c>
      <c r="F18" s="1">
        <v>-6.4628200000000002E-3</v>
      </c>
      <c r="G18" s="1">
        <f t="shared" si="0"/>
        <v>-6.3540070000000004E-2</v>
      </c>
      <c r="H18" s="1">
        <f t="shared" si="1"/>
        <v>-3.2405435700000006E-2</v>
      </c>
      <c r="I18" s="1">
        <f>Cr_FTC_3!O18/'Cr_FTC_3 (2)'!H18</f>
        <v>5.0069294393100837E-2</v>
      </c>
      <c r="J18" s="1">
        <f t="shared" si="2"/>
        <v>1.4000000000000001</v>
      </c>
    </row>
    <row r="19" spans="2:10" x14ac:dyDescent="0.25">
      <c r="B19" s="1">
        <v>0</v>
      </c>
      <c r="C19" s="1">
        <v>0</v>
      </c>
      <c r="D19" s="1">
        <v>1.4999999999999999E-2</v>
      </c>
      <c r="E19" s="1">
        <v>-5.809164E-2</v>
      </c>
      <c r="F19" s="1">
        <v>-6.5777220000000003E-3</v>
      </c>
      <c r="G19" s="1">
        <f t="shared" si="0"/>
        <v>-6.4669361999999994E-2</v>
      </c>
      <c r="H19" s="1">
        <f t="shared" si="1"/>
        <v>-3.2981374619999997E-2</v>
      </c>
      <c r="I19" s="1">
        <f>Cr_FTC_3!O19/'Cr_FTC_3 (2)'!H19</f>
        <v>5.1938584117146788E-2</v>
      </c>
      <c r="J19" s="1">
        <f t="shared" si="2"/>
        <v>1.5</v>
      </c>
    </row>
    <row r="20" spans="2:10" x14ac:dyDescent="0.25">
      <c r="B20" s="1">
        <v>0</v>
      </c>
      <c r="C20" s="1">
        <v>0</v>
      </c>
      <c r="D20" s="1">
        <v>1.6E-2</v>
      </c>
      <c r="E20" s="1">
        <v>-5.9116700000000001E-2</v>
      </c>
      <c r="F20" s="1">
        <v>-6.6938329999999997E-3</v>
      </c>
      <c r="G20" s="1">
        <f t="shared" si="0"/>
        <v>-6.5810533000000004E-2</v>
      </c>
      <c r="H20" s="1">
        <f t="shared" si="1"/>
        <v>-3.3563371830000001E-2</v>
      </c>
      <c r="I20" s="1">
        <f>Cr_FTC_3!O20/'Cr_FTC_3 (2)'!H20</f>
        <v>5.4088924950541836E-2</v>
      </c>
      <c r="J20" s="1">
        <f t="shared" si="2"/>
        <v>1.6</v>
      </c>
    </row>
    <row r="21" spans="2:10" x14ac:dyDescent="0.25">
      <c r="B21" s="1">
        <v>0</v>
      </c>
      <c r="C21" s="1">
        <v>0</v>
      </c>
      <c r="D21" s="1">
        <v>1.7000000000000001E-2</v>
      </c>
      <c r="E21" s="1">
        <v>-6.0155599999999997E-2</v>
      </c>
      <c r="F21" s="1">
        <v>-6.8115149999999998E-3</v>
      </c>
      <c r="G21" s="1">
        <f t="shared" si="0"/>
        <v>-6.6967114999999994E-2</v>
      </c>
      <c r="H21" s="1">
        <f t="shared" si="1"/>
        <v>-3.4153228649999999E-2</v>
      </c>
      <c r="I21" s="1">
        <f>Cr_FTC_3!O21/'Cr_FTC_3 (2)'!H21</f>
        <v>5.652539382978658E-2</v>
      </c>
      <c r="J21" s="1">
        <f t="shared" si="2"/>
        <v>1.7000000000000002</v>
      </c>
    </row>
    <row r="22" spans="2:10" x14ac:dyDescent="0.25">
      <c r="B22" s="1">
        <v>0</v>
      </c>
      <c r="C22" s="1">
        <v>0</v>
      </c>
      <c r="D22" s="1">
        <v>1.7999999999999999E-2</v>
      </c>
      <c r="E22" s="1">
        <v>-6.1211219999999997E-2</v>
      </c>
      <c r="F22" s="1">
        <v>-6.9310919999999998E-3</v>
      </c>
      <c r="G22" s="1">
        <f t="shared" si="0"/>
        <v>-6.8142311999999997E-2</v>
      </c>
      <c r="H22" s="1">
        <f t="shared" si="1"/>
        <v>-3.4752579120000002E-2</v>
      </c>
      <c r="I22" s="1">
        <f>Cr_FTC_3!O22/'Cr_FTC_3 (2)'!H22</f>
        <v>5.9256499866937061E-2</v>
      </c>
      <c r="J22" s="1">
        <f t="shared" si="2"/>
        <v>1.7999999999999998</v>
      </c>
    </row>
    <row r="23" spans="2:10" x14ac:dyDescent="0.25">
      <c r="B23" s="1">
        <v>0</v>
      </c>
      <c r="C23" s="1">
        <v>0</v>
      </c>
      <c r="D23" s="1">
        <v>1.9E-2</v>
      </c>
      <c r="E23" s="1">
        <v>-6.2285979999999998E-2</v>
      </c>
      <c r="F23" s="1">
        <v>-7.0528400000000003E-3</v>
      </c>
      <c r="G23" s="1">
        <f t="shared" si="0"/>
        <v>-6.9338819999999995E-2</v>
      </c>
      <c r="H23" s="1">
        <f t="shared" si="1"/>
        <v>-3.5362798199999997E-2</v>
      </c>
      <c r="I23" s="1">
        <f>Cr_FTC_3!O23/'Cr_FTC_3 (2)'!H23</f>
        <v>6.2294038145431621E-2</v>
      </c>
      <c r="J23" s="1">
        <f t="shared" si="2"/>
        <v>1.9</v>
      </c>
    </row>
    <row r="24" spans="2:10" x14ac:dyDescent="0.25">
      <c r="B24" s="1">
        <v>0</v>
      </c>
      <c r="C24" s="1">
        <v>0</v>
      </c>
      <c r="D24" s="1">
        <v>0.02</v>
      </c>
      <c r="E24" s="1">
        <v>-6.3381419999999994E-2</v>
      </c>
      <c r="F24" s="1">
        <v>-7.1769319999999996E-3</v>
      </c>
      <c r="G24" s="1">
        <f t="shared" si="0"/>
        <v>-7.0558351999999991E-2</v>
      </c>
      <c r="H24" s="1">
        <f t="shared" si="1"/>
        <v>-3.5984759519999993E-2</v>
      </c>
      <c r="I24" s="1">
        <f>Cr_FTC_3!O24/'Cr_FTC_3 (2)'!H24</f>
        <v>6.566061386867926E-2</v>
      </c>
      <c r="J24" s="1">
        <f t="shared" si="2"/>
        <v>2</v>
      </c>
    </row>
    <row r="25" spans="2:10" x14ac:dyDescent="0.25">
      <c r="B25" s="1">
        <v>0</v>
      </c>
      <c r="C25" s="1">
        <v>0</v>
      </c>
      <c r="D25" s="1">
        <v>2.1000000000000001E-2</v>
      </c>
      <c r="E25" s="1">
        <v>-6.4498420000000001E-2</v>
      </c>
      <c r="F25" s="1">
        <v>-7.3034679999999996E-3</v>
      </c>
      <c r="G25" s="1">
        <f t="shared" si="0"/>
        <v>-7.1801887999999994E-2</v>
      </c>
      <c r="H25" s="1">
        <f t="shared" si="1"/>
        <v>-3.6618962879999994E-2</v>
      </c>
      <c r="I25" s="1">
        <f>Cr_FTC_3!O25/'Cr_FTC_3 (2)'!H25</f>
        <v>6.9377658464149269E-2</v>
      </c>
      <c r="J25" s="1">
        <f t="shared" si="2"/>
        <v>2.1</v>
      </c>
    </row>
    <row r="26" spans="2:10" x14ac:dyDescent="0.25">
      <c r="B26" s="1">
        <v>0</v>
      </c>
      <c r="C26" s="1">
        <v>0</v>
      </c>
      <c r="D26" s="1">
        <v>2.1999999999999999E-2</v>
      </c>
      <c r="E26" s="1">
        <v>-6.5636780000000006E-2</v>
      </c>
      <c r="F26" s="1">
        <v>-7.4324270000000001E-3</v>
      </c>
      <c r="G26" s="1">
        <f t="shared" si="0"/>
        <v>-7.3069207000000011E-2</v>
      </c>
      <c r="H26" s="1">
        <f t="shared" si="1"/>
        <v>-3.7265295570000009E-2</v>
      </c>
      <c r="I26" s="1">
        <f>Cr_FTC_3!O26/'Cr_FTC_3 (2)'!H26</f>
        <v>7.3466810288873793E-2</v>
      </c>
      <c r="J26" s="1">
        <f t="shared" si="2"/>
        <v>2.1999999999999997</v>
      </c>
    </row>
    <row r="27" spans="2:10" x14ac:dyDescent="0.25">
      <c r="B27" s="1">
        <v>0</v>
      </c>
      <c r="C27" s="1">
        <v>0</v>
      </c>
      <c r="D27" s="1">
        <v>2.3E-2</v>
      </c>
      <c r="E27" s="1">
        <v>-6.6794270000000003E-2</v>
      </c>
      <c r="F27" s="1">
        <v>-7.5635540000000001E-3</v>
      </c>
      <c r="G27" s="1">
        <f t="shared" si="0"/>
        <v>-7.4357824000000003E-2</v>
      </c>
      <c r="H27" s="1">
        <f t="shared" si="1"/>
        <v>-3.7922490240000002E-2</v>
      </c>
      <c r="I27" s="1">
        <f>Cr_FTC_3!O27/'Cr_FTC_3 (2)'!H27</f>
        <v>7.7951431493334319E-2</v>
      </c>
      <c r="J27" s="1">
        <f t="shared" si="2"/>
        <v>2.2999999999999998</v>
      </c>
    </row>
    <row r="28" spans="2:10" x14ac:dyDescent="0.25">
      <c r="B28" s="1">
        <v>0</v>
      </c>
      <c r="C28" s="1">
        <v>0</v>
      </c>
      <c r="D28" s="1">
        <v>2.4E-2</v>
      </c>
      <c r="E28" s="1">
        <v>-6.7965269999999994E-2</v>
      </c>
      <c r="F28" s="1">
        <v>-7.6962139999999998E-3</v>
      </c>
      <c r="G28" s="1">
        <f t="shared" si="0"/>
        <v>-7.5661484000000001E-2</v>
      </c>
      <c r="H28" s="1">
        <f t="shared" si="1"/>
        <v>-3.8587356840000003E-2</v>
      </c>
      <c r="I28" s="1">
        <f>Cr_FTC_3!O28/'Cr_FTC_3 (2)'!H28</f>
        <v>8.284970419860456E-2</v>
      </c>
      <c r="J28" s="1">
        <f t="shared" si="2"/>
        <v>2.4</v>
      </c>
    </row>
    <row r="29" spans="2:10" x14ac:dyDescent="0.25">
      <c r="B29" s="1">
        <v>0</v>
      </c>
      <c r="C29" s="1">
        <v>0</v>
      </c>
      <c r="D29" s="1">
        <v>2.5000000000000001E-2</v>
      </c>
      <c r="E29" s="1">
        <v>-6.9138469999999994E-2</v>
      </c>
      <c r="F29" s="1">
        <v>-7.8291249999999993E-3</v>
      </c>
      <c r="G29" s="1">
        <f t="shared" si="0"/>
        <v>-7.6967595E-2</v>
      </c>
      <c r="H29" s="1">
        <f t="shared" si="1"/>
        <v>-3.925347345E-2</v>
      </c>
      <c r="I29" s="1">
        <f>Cr_FTC_3!O29/'Cr_FTC_3 (2)'!H29</f>
        <v>8.8160608370314808E-2</v>
      </c>
      <c r="J29" s="1">
        <f t="shared" si="2"/>
        <v>2.5</v>
      </c>
    </row>
    <row r="30" spans="2:10" x14ac:dyDescent="0.25">
      <c r="B30" s="1">
        <v>0</v>
      </c>
      <c r="C30" s="1">
        <v>0</v>
      </c>
      <c r="D30" s="1">
        <v>2.5999999999999999E-2</v>
      </c>
      <c r="E30" s="1">
        <v>-7.0292960000000002E-2</v>
      </c>
      <c r="F30" s="1">
        <v>-7.9599189999999993E-3</v>
      </c>
      <c r="G30" s="1">
        <f t="shared" si="0"/>
        <v>-7.8252878999999997E-2</v>
      </c>
      <c r="H30" s="1">
        <f t="shared" si="1"/>
        <v>-3.9908968289999999E-2</v>
      </c>
      <c r="I30" s="1">
        <f>Cr_FTC_3!O30/'Cr_FTC_3 (2)'!H30</f>
        <v>9.3832072349971554E-2</v>
      </c>
      <c r="J30" s="1">
        <f t="shared" si="2"/>
        <v>2.6</v>
      </c>
    </row>
    <row r="31" spans="2:10" x14ac:dyDescent="0.25">
      <c r="B31" s="1">
        <v>0</v>
      </c>
      <c r="C31" s="1">
        <v>0</v>
      </c>
      <c r="D31" s="1">
        <v>2.7E-2</v>
      </c>
      <c r="E31" s="1">
        <v>-7.1391350000000006E-2</v>
      </c>
      <c r="F31" s="1">
        <v>-8.0843589999999993E-3</v>
      </c>
      <c r="G31" s="1">
        <f t="shared" si="0"/>
        <v>-7.9475709000000005E-2</v>
      </c>
      <c r="H31" s="1">
        <f t="shared" si="1"/>
        <v>-4.0532611590000003E-2</v>
      </c>
      <c r="I31" s="1">
        <f>Cr_FTC_3!O31/'Cr_FTC_3 (2)'!H31</f>
        <v>9.9695845924642021E-2</v>
      </c>
      <c r="J31" s="1">
        <f t="shared" si="2"/>
        <v>2.7</v>
      </c>
    </row>
    <row r="32" spans="2:10" x14ac:dyDescent="0.25">
      <c r="B32" s="1">
        <v>0</v>
      </c>
      <c r="C32" s="1">
        <v>0</v>
      </c>
      <c r="D32" s="1">
        <v>2.8000000000000001E-2</v>
      </c>
      <c r="E32" s="1">
        <v>-7.2367500000000001E-2</v>
      </c>
      <c r="F32" s="1">
        <v>-8.1949529999999996E-3</v>
      </c>
      <c r="G32" s="1">
        <f t="shared" si="0"/>
        <v>-8.0562453000000006E-2</v>
      </c>
      <c r="H32" s="1">
        <f t="shared" si="1"/>
        <v>-4.1086851030000003E-2</v>
      </c>
      <c r="I32" s="1">
        <f>Cr_FTC_3!O32/'Cr_FTC_3 (2)'!H32</f>
        <v>0.10534294285146631</v>
      </c>
      <c r="J32" s="1">
        <f t="shared" si="2"/>
        <v>2.8000000000000003</v>
      </c>
    </row>
    <row r="33" spans="2:10" x14ac:dyDescent="0.25">
      <c r="B33" s="1">
        <v>0</v>
      </c>
      <c r="C33" s="1">
        <v>0</v>
      </c>
      <c r="D33" s="1">
        <v>2.9000000000000001E-2</v>
      </c>
      <c r="E33" s="1">
        <v>-7.3104500000000003E-2</v>
      </c>
      <c r="F33" s="1">
        <v>-8.2784529999999999E-3</v>
      </c>
      <c r="G33" s="1">
        <f t="shared" si="0"/>
        <v>-8.1382953000000008E-2</v>
      </c>
      <c r="H33" s="1">
        <f t="shared" si="1"/>
        <v>-4.1505306030000008E-2</v>
      </c>
      <c r="I33" s="1">
        <f>Cr_FTC_3!O33/'Cr_FTC_3 (2)'!H33</f>
        <v>0.10991004371110279</v>
      </c>
      <c r="J33" s="1">
        <f t="shared" si="2"/>
        <v>2.9000000000000004</v>
      </c>
    </row>
    <row r="34" spans="2:10" x14ac:dyDescent="0.25">
      <c r="B34" s="1">
        <v>0</v>
      </c>
      <c r="C34" s="1">
        <v>0</v>
      </c>
      <c r="D34" s="1">
        <v>0.03</v>
      </c>
      <c r="E34" s="1">
        <v>-7.3394459999999995E-2</v>
      </c>
      <c r="F34" s="1">
        <v>-8.3113049999999997E-3</v>
      </c>
      <c r="G34" s="1">
        <f t="shared" si="0"/>
        <v>-8.1705765E-2</v>
      </c>
      <c r="H34" s="1">
        <f t="shared" si="1"/>
        <v>-4.1669940150000001E-2</v>
      </c>
      <c r="I34" s="1">
        <f>Cr_FTC_3!O34/'Cr_FTC_3 (2)'!H34</f>
        <v>0.1117837218683886</v>
      </c>
      <c r="J34" s="1">
        <f t="shared" si="2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J4" sqref="J4:J3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27</v>
      </c>
      <c r="G2" t="s">
        <v>26</v>
      </c>
      <c r="H2">
        <v>0.51</v>
      </c>
    </row>
    <row r="3" spans="1:10" x14ac:dyDescent="0.25">
      <c r="G3" t="s">
        <v>29</v>
      </c>
      <c r="H3" t="s">
        <v>31</v>
      </c>
      <c r="I3" t="s">
        <v>32</v>
      </c>
    </row>
    <row r="4" spans="1:10" x14ac:dyDescent="0.25">
      <c r="B4" s="1">
        <v>0</v>
      </c>
      <c r="C4" s="1">
        <v>0</v>
      </c>
      <c r="D4" s="1">
        <v>0</v>
      </c>
      <c r="E4" s="1">
        <v>-4.8877810000000001E-2</v>
      </c>
      <c r="F4" s="1">
        <v>-5.5340060000000002E-3</v>
      </c>
      <c r="G4" s="1">
        <f>SUM(E4:F4)</f>
        <v>-5.4411816000000002E-2</v>
      </c>
      <c r="H4" s="1">
        <f>G4*$H$2</f>
        <v>-2.775002616E-2</v>
      </c>
      <c r="I4" s="1">
        <f>Cr_FTC_2!O4/'Cr_FTC_2 (2)'!H4</f>
        <v>0.53013268943167002</v>
      </c>
      <c r="J4" s="1">
        <f>D4*100</f>
        <v>0</v>
      </c>
    </row>
    <row r="5" spans="1:10" x14ac:dyDescent="0.25">
      <c r="B5" s="1">
        <v>0</v>
      </c>
      <c r="C5" s="1">
        <v>0</v>
      </c>
      <c r="D5" s="1">
        <v>1E-3</v>
      </c>
      <c r="E5" s="1">
        <v>-6.3919470000000006E-2</v>
      </c>
      <c r="F5" s="1">
        <v>-7.2370969999999996E-3</v>
      </c>
      <c r="G5" s="1">
        <f t="shared" ref="G5:G34" si="0">SUM(E5:F5)</f>
        <v>-7.1156567000000004E-2</v>
      </c>
      <c r="H5" s="1">
        <f t="shared" ref="H5:H34" si="1">G5*$H$2</f>
        <v>-3.6289849169999999E-2</v>
      </c>
      <c r="I5" s="1">
        <f>Cr_FTC_2!O5/'Cr_FTC_2 (2)'!H5</f>
        <v>0.46002844822515421</v>
      </c>
      <c r="J5" s="1">
        <f t="shared" ref="J5:J34" si="2">D5*100</f>
        <v>0.1</v>
      </c>
    </row>
    <row r="6" spans="1:10" x14ac:dyDescent="0.25">
      <c r="B6" s="1">
        <v>0</v>
      </c>
      <c r="C6" s="1">
        <v>0</v>
      </c>
      <c r="D6" s="1">
        <v>2E-3</v>
      </c>
      <c r="E6" s="1">
        <v>-7.1681750000000002E-2</v>
      </c>
      <c r="F6" s="1">
        <v>-8.1160250000000007E-3</v>
      </c>
      <c r="G6" s="1">
        <f t="shared" si="0"/>
        <v>-7.9797775000000001E-2</v>
      </c>
      <c r="H6" s="1">
        <f t="shared" si="1"/>
        <v>-4.0696865249999999E-2</v>
      </c>
      <c r="I6" s="1">
        <f>Cr_FTC_2!O6/'Cr_FTC_2 (2)'!H6</f>
        <v>0.4246300763914489</v>
      </c>
      <c r="J6" s="1">
        <f t="shared" si="2"/>
        <v>0.2</v>
      </c>
    </row>
    <row r="7" spans="1:10" x14ac:dyDescent="0.25">
      <c r="B7" s="1">
        <v>0</v>
      </c>
      <c r="C7" s="1">
        <v>0</v>
      </c>
      <c r="D7" s="1">
        <v>3.0000000000000001E-3</v>
      </c>
      <c r="E7" s="1">
        <v>-7.659908E-2</v>
      </c>
      <c r="F7" s="1">
        <v>-8.6728559999999996E-3</v>
      </c>
      <c r="G7" s="1">
        <f t="shared" si="0"/>
        <v>-8.5271935999999993E-2</v>
      </c>
      <c r="H7" s="1">
        <f t="shared" si="1"/>
        <v>-4.348868736E-2</v>
      </c>
      <c r="I7" s="1">
        <f>Cr_FTC_2!O7/'Cr_FTC_2 (2)'!H7</f>
        <v>0.41225914343164027</v>
      </c>
      <c r="J7" s="1">
        <f t="shared" si="2"/>
        <v>0.3</v>
      </c>
    </row>
    <row r="8" spans="1:10" x14ac:dyDescent="0.25">
      <c r="B8" s="1">
        <v>0</v>
      </c>
      <c r="C8" s="1">
        <v>0</v>
      </c>
      <c r="D8" s="1">
        <v>4.0000000000000001E-3</v>
      </c>
      <c r="E8" s="1">
        <v>-8.0343949999999997E-2</v>
      </c>
      <c r="F8" s="1">
        <v>-9.096949E-3</v>
      </c>
      <c r="G8" s="1">
        <f t="shared" si="0"/>
        <v>-8.944089899999999E-2</v>
      </c>
      <c r="H8" s="1">
        <f t="shared" si="1"/>
        <v>-4.5614858489999993E-2</v>
      </c>
      <c r="I8" s="1">
        <f>Cr_FTC_2!O8/'Cr_FTC_2 (2)'!H8</f>
        <v>0.41168841955559032</v>
      </c>
      <c r="J8" s="1">
        <f t="shared" si="2"/>
        <v>0.4</v>
      </c>
    </row>
    <row r="9" spans="1:10" x14ac:dyDescent="0.25">
      <c r="B9" s="1">
        <v>0</v>
      </c>
      <c r="C9" s="1">
        <v>0</v>
      </c>
      <c r="D9" s="1">
        <v>5.0000000000000001E-3</v>
      </c>
      <c r="E9" s="1">
        <v>-8.3595370000000002E-2</v>
      </c>
      <c r="F9" s="1">
        <v>-9.4651809999999996E-3</v>
      </c>
      <c r="G9" s="1">
        <f t="shared" si="0"/>
        <v>-9.3060551000000005E-2</v>
      </c>
      <c r="H9" s="1">
        <f t="shared" si="1"/>
        <v>-4.7460881010000004E-2</v>
      </c>
      <c r="I9" s="1">
        <f>Cr_FTC_2!O9/'Cr_FTC_2 (2)'!H9</f>
        <v>0.41784068432740623</v>
      </c>
      <c r="J9" s="1">
        <f t="shared" si="2"/>
        <v>0.5</v>
      </c>
    </row>
    <row r="10" spans="1:10" x14ac:dyDescent="0.25">
      <c r="B10" s="1">
        <v>0</v>
      </c>
      <c r="C10" s="1">
        <v>0</v>
      </c>
      <c r="D10" s="1">
        <v>6.0000000000000001E-3</v>
      </c>
      <c r="E10" s="1">
        <v>-8.6640830000000002E-2</v>
      </c>
      <c r="F10" s="1">
        <v>-9.8101060000000007E-3</v>
      </c>
      <c r="G10" s="1">
        <f t="shared" si="0"/>
        <v>-9.6450936000000001E-2</v>
      </c>
      <c r="H10" s="1">
        <f t="shared" si="1"/>
        <v>-4.9189977360000005E-2</v>
      </c>
      <c r="I10" s="1">
        <f>Cr_FTC_2!O10/'Cr_FTC_2 (2)'!H10</f>
        <v>0.42860395819462521</v>
      </c>
      <c r="J10" s="1">
        <f t="shared" si="2"/>
        <v>0.6</v>
      </c>
    </row>
    <row r="11" spans="1:10" x14ac:dyDescent="0.25">
      <c r="B11" s="1">
        <v>0</v>
      </c>
      <c r="C11" s="1">
        <v>0</v>
      </c>
      <c r="D11" s="1">
        <v>7.0000000000000001E-3</v>
      </c>
      <c r="E11" s="1">
        <v>-8.9601970000000003E-2</v>
      </c>
      <c r="F11" s="1">
        <v>-1.014549E-2</v>
      </c>
      <c r="G11" s="1">
        <f t="shared" si="0"/>
        <v>-9.974746000000001E-2</v>
      </c>
      <c r="H11" s="1">
        <f t="shared" si="1"/>
        <v>-5.0871204600000004E-2</v>
      </c>
      <c r="I11" s="1">
        <f>Cr_FTC_2!O11/'Cr_FTC_2 (2)'!H11</f>
        <v>0.44321859836596045</v>
      </c>
      <c r="J11" s="1">
        <f t="shared" si="2"/>
        <v>0.70000000000000007</v>
      </c>
    </row>
    <row r="12" spans="1:10" x14ac:dyDescent="0.25">
      <c r="B12" s="1">
        <v>0</v>
      </c>
      <c r="C12" s="1">
        <v>0</v>
      </c>
      <c r="D12" s="1">
        <v>8.0000000000000002E-3</v>
      </c>
      <c r="E12" s="1">
        <v>-9.2524149999999999E-2</v>
      </c>
      <c r="F12" s="1">
        <v>-1.047648E-2</v>
      </c>
      <c r="G12" s="1">
        <f t="shared" si="0"/>
        <v>-0.10300063</v>
      </c>
      <c r="H12" s="1">
        <f t="shared" si="1"/>
        <v>-5.2530321300000002E-2</v>
      </c>
      <c r="I12" s="1">
        <f>Cr_FTC_2!O12/'Cr_FTC_2 (2)'!H12</f>
        <v>0.46159001886782669</v>
      </c>
      <c r="J12" s="1">
        <f t="shared" si="2"/>
        <v>0.8</v>
      </c>
    </row>
    <row r="13" spans="1:10" x14ac:dyDescent="0.25">
      <c r="B13" s="1">
        <v>0</v>
      </c>
      <c r="C13" s="1">
        <v>0</v>
      </c>
      <c r="D13" s="1">
        <v>8.9999999999999993E-3</v>
      </c>
      <c r="E13" s="1">
        <v>-9.5413429999999994E-2</v>
      </c>
      <c r="F13" s="1">
        <v>-1.0803760000000001E-2</v>
      </c>
      <c r="G13" s="1">
        <f t="shared" si="0"/>
        <v>-0.10621718999999999</v>
      </c>
      <c r="H13" s="1">
        <f t="shared" si="1"/>
        <v>-5.4170766899999993E-2</v>
      </c>
      <c r="I13" s="1">
        <f>Cr_FTC_2!O13/'Cr_FTC_2 (2)'!H13</f>
        <v>0.48397609080184545</v>
      </c>
      <c r="J13" s="1">
        <f t="shared" si="2"/>
        <v>0.89999999999999991</v>
      </c>
    </row>
    <row r="14" spans="1:10" x14ac:dyDescent="0.25">
      <c r="B14" s="1">
        <v>0</v>
      </c>
      <c r="C14" s="1">
        <v>0</v>
      </c>
      <c r="D14" s="1">
        <v>0.01</v>
      </c>
      <c r="E14" s="1">
        <v>-9.8251539999999998E-2</v>
      </c>
      <c r="F14" s="1">
        <v>-1.112525E-2</v>
      </c>
      <c r="G14" s="1">
        <f t="shared" si="0"/>
        <v>-0.10937679</v>
      </c>
      <c r="H14" s="1">
        <f t="shared" si="1"/>
        <v>-5.5782162900000001E-2</v>
      </c>
      <c r="I14" s="1">
        <f>Cr_FTC_2!O14/'Cr_FTC_2 (2)'!H14</f>
        <v>0.51084645195785339</v>
      </c>
      <c r="J14" s="1">
        <f t="shared" si="2"/>
        <v>1</v>
      </c>
    </row>
    <row r="15" spans="1:10" x14ac:dyDescent="0.25">
      <c r="B15" s="1">
        <v>0</v>
      </c>
      <c r="C15" s="1">
        <v>0</v>
      </c>
      <c r="D15" s="1">
        <v>1.0999999999999999E-2</v>
      </c>
      <c r="E15" s="1">
        <v>-0.1010012</v>
      </c>
      <c r="F15" s="1">
        <v>-1.1436740000000001E-2</v>
      </c>
      <c r="G15" s="1">
        <f t="shared" si="0"/>
        <v>-0.11243794</v>
      </c>
      <c r="H15" s="1">
        <f t="shared" si="1"/>
        <v>-5.73433494E-2</v>
      </c>
      <c r="I15" s="1">
        <f>Cr_FTC_2!O15/'Cr_FTC_2 (2)'!H15</f>
        <v>0.54283576606008299</v>
      </c>
      <c r="J15" s="1">
        <f t="shared" si="2"/>
        <v>1.0999999999999999</v>
      </c>
    </row>
    <row r="16" spans="1:10" x14ac:dyDescent="0.25">
      <c r="B16" s="1">
        <v>0</v>
      </c>
      <c r="C16" s="1">
        <v>0</v>
      </c>
      <c r="D16" s="1">
        <v>1.2E-2</v>
      </c>
      <c r="E16" s="1">
        <v>-0.1036065</v>
      </c>
      <c r="F16" s="1">
        <v>-1.173189E-2</v>
      </c>
      <c r="G16" s="1">
        <f t="shared" si="0"/>
        <v>-0.11533839</v>
      </c>
      <c r="H16" s="1">
        <f t="shared" si="1"/>
        <v>-5.8822578899999999E-2</v>
      </c>
      <c r="I16" s="1">
        <f>Cr_FTC_2!O16/'Cr_FTC_2 (2)'!H16</f>
        <v>0.58076046033405038</v>
      </c>
      <c r="J16" s="1">
        <f t="shared" si="2"/>
        <v>1.2</v>
      </c>
    </row>
    <row r="17" spans="2:10" x14ac:dyDescent="0.25">
      <c r="B17" s="1">
        <v>0</v>
      </c>
      <c r="C17" s="1">
        <v>0</v>
      </c>
      <c r="D17" s="1">
        <v>1.2999999999999999E-2</v>
      </c>
      <c r="E17" s="1">
        <v>-0.10599119999999999</v>
      </c>
      <c r="F17" s="1">
        <v>-1.200209E-2</v>
      </c>
      <c r="G17" s="1">
        <f t="shared" si="0"/>
        <v>-0.11799329</v>
      </c>
      <c r="H17" s="1">
        <f t="shared" si="1"/>
        <v>-6.01765779E-2</v>
      </c>
      <c r="I17" s="1">
        <f>Cr_FTC_2!O17/'Cr_FTC_2 (2)'!H17</f>
        <v>0.62567914816571846</v>
      </c>
      <c r="J17" s="1">
        <f t="shared" si="2"/>
        <v>1.3</v>
      </c>
    </row>
    <row r="18" spans="2:10" x14ac:dyDescent="0.25">
      <c r="B18" s="1">
        <v>0</v>
      </c>
      <c r="C18" s="1">
        <v>0</v>
      </c>
      <c r="D18" s="1">
        <v>1.4E-2</v>
      </c>
      <c r="E18" s="1">
        <v>-0.1080571</v>
      </c>
      <c r="F18" s="1">
        <v>-1.2236189999999999E-2</v>
      </c>
      <c r="G18" s="1">
        <f t="shared" si="0"/>
        <v>-0.12029329</v>
      </c>
      <c r="H18" s="1">
        <f t="shared" si="1"/>
        <v>-6.13495779E-2</v>
      </c>
      <c r="I18" s="1">
        <f>Cr_FTC_2!O18/'Cr_FTC_2 (2)'!H18</f>
        <v>0.67898256884339536</v>
      </c>
      <c r="J18" s="1">
        <f t="shared" si="2"/>
        <v>1.4000000000000001</v>
      </c>
    </row>
    <row r="19" spans="2:10" x14ac:dyDescent="0.25">
      <c r="B19" s="1">
        <v>0</v>
      </c>
      <c r="C19" s="1">
        <v>0</v>
      </c>
      <c r="D19" s="1">
        <v>1.4999999999999999E-2</v>
      </c>
      <c r="E19" s="1">
        <v>-0.1096829</v>
      </c>
      <c r="F19" s="1">
        <v>-1.242045E-2</v>
      </c>
      <c r="G19" s="1">
        <f t="shared" si="0"/>
        <v>-0.12210335</v>
      </c>
      <c r="H19" s="1">
        <f t="shared" si="1"/>
        <v>-6.2272708500000003E-2</v>
      </c>
      <c r="I19" s="1">
        <f>Cr_FTC_2!O19/'Cr_FTC_2 (2)'!H19</f>
        <v>0.74252111581111013</v>
      </c>
      <c r="J19" s="1">
        <f t="shared" si="2"/>
        <v>1.5</v>
      </c>
    </row>
    <row r="20" spans="2:10" x14ac:dyDescent="0.25">
      <c r="B20" s="1">
        <v>0</v>
      </c>
      <c r="C20" s="1">
        <v>0</v>
      </c>
      <c r="D20" s="1">
        <v>1.6E-2</v>
      </c>
      <c r="E20" s="1">
        <v>-0.1107262</v>
      </c>
      <c r="F20" s="1">
        <v>-1.2538779999999999E-2</v>
      </c>
      <c r="G20" s="1">
        <f t="shared" si="0"/>
        <v>-0.12326498</v>
      </c>
      <c r="H20" s="1">
        <f t="shared" si="1"/>
        <v>-6.2865139799999997E-2</v>
      </c>
      <c r="I20" s="1">
        <f>Cr_FTC_2!O20/'Cr_FTC_2 (2)'!H20</f>
        <v>0.81876811478911249</v>
      </c>
      <c r="J20" s="1">
        <f t="shared" si="2"/>
        <v>1.6</v>
      </c>
    </row>
    <row r="21" spans="2:10" x14ac:dyDescent="0.25">
      <c r="B21" s="1">
        <v>0</v>
      </c>
      <c r="C21" s="1">
        <v>0</v>
      </c>
      <c r="D21" s="1">
        <v>1.7000000000000001E-2</v>
      </c>
      <c r="E21" s="1">
        <v>-0.11103059999999999</v>
      </c>
      <c r="F21" s="1">
        <v>-1.257343E-2</v>
      </c>
      <c r="G21" s="1">
        <f t="shared" si="0"/>
        <v>-0.12360402999999999</v>
      </c>
      <c r="H21" s="1">
        <f t="shared" si="1"/>
        <v>-6.3038055299999993E-2</v>
      </c>
      <c r="I21" s="1">
        <f>Cr_FTC_2!O21/'Cr_FTC_2 (2)'!H21</f>
        <v>0.91102691424556059</v>
      </c>
      <c r="J21" s="1">
        <f t="shared" si="2"/>
        <v>1.7000000000000002</v>
      </c>
    </row>
    <row r="22" spans="2:10" x14ac:dyDescent="0.25">
      <c r="B22" s="1">
        <v>0</v>
      </c>
      <c r="C22" s="1">
        <v>0</v>
      </c>
      <c r="D22" s="1">
        <v>1.7999999999999999E-2</v>
      </c>
      <c r="E22" s="1">
        <v>-0.1104364</v>
      </c>
      <c r="F22" s="1">
        <v>-1.250632E-2</v>
      </c>
      <c r="G22" s="1">
        <f t="shared" si="0"/>
        <v>-0.12294272000000001</v>
      </c>
      <c r="H22" s="1">
        <f t="shared" si="1"/>
        <v>-6.270078720000001E-2</v>
      </c>
      <c r="I22" s="1">
        <f>Cr_FTC_2!O22/'Cr_FTC_2 (2)'!H22</f>
        <v>1.0237159351007319</v>
      </c>
      <c r="J22" s="1">
        <f t="shared" si="2"/>
        <v>1.7999999999999998</v>
      </c>
    </row>
    <row r="23" spans="2:10" x14ac:dyDescent="0.25">
      <c r="B23" s="1">
        <v>0</v>
      </c>
      <c r="C23" s="1">
        <v>0</v>
      </c>
      <c r="D23" s="1">
        <v>1.9E-2</v>
      </c>
      <c r="E23" s="1">
        <v>-0.1087978</v>
      </c>
      <c r="F23" s="1">
        <v>-1.2320930000000001E-2</v>
      </c>
      <c r="G23" s="1">
        <f t="shared" si="0"/>
        <v>-0.12111873000000001</v>
      </c>
      <c r="H23" s="1">
        <f t="shared" si="1"/>
        <v>-6.1770552300000003E-2</v>
      </c>
      <c r="I23" s="1">
        <f>Cr_FTC_2!O23/'Cr_FTC_2 (2)'!H23</f>
        <v>1.1627354188316039</v>
      </c>
      <c r="J23" s="1">
        <f t="shared" si="2"/>
        <v>1.9</v>
      </c>
    </row>
    <row r="24" spans="2:10" x14ac:dyDescent="0.25">
      <c r="B24" s="1">
        <v>0</v>
      </c>
      <c r="C24" s="1">
        <v>0</v>
      </c>
      <c r="D24" s="1">
        <v>0.02</v>
      </c>
      <c r="E24" s="1">
        <v>-0.1060038</v>
      </c>
      <c r="F24" s="1">
        <v>-1.200471E-2</v>
      </c>
      <c r="G24" s="1">
        <f t="shared" si="0"/>
        <v>-0.11800851</v>
      </c>
      <c r="H24" s="1">
        <f t="shared" si="1"/>
        <v>-6.0184340099999997E-2</v>
      </c>
      <c r="I24" s="1">
        <f>Cr_FTC_2!O24/'Cr_FTC_2 (2)'!H24</f>
        <v>1.336008534220017</v>
      </c>
      <c r="J24" s="1">
        <f t="shared" si="2"/>
        <v>2</v>
      </c>
    </row>
    <row r="25" spans="2:10" x14ac:dyDescent="0.25">
      <c r="B25" s="1">
        <v>0</v>
      </c>
      <c r="C25" s="1">
        <v>0</v>
      </c>
      <c r="D25" s="1">
        <v>2.1000000000000001E-2</v>
      </c>
      <c r="E25" s="1">
        <v>-0.1020013</v>
      </c>
      <c r="F25" s="1">
        <v>-1.155159E-2</v>
      </c>
      <c r="G25" s="1">
        <f t="shared" si="0"/>
        <v>-0.11355289</v>
      </c>
      <c r="H25" s="1">
        <f t="shared" si="1"/>
        <v>-5.7911973900000004E-2</v>
      </c>
      <c r="I25" s="1">
        <f>Cr_FTC_2!O25/'Cr_FTC_2 (2)'!H25</f>
        <v>1.554032041031846</v>
      </c>
      <c r="J25" s="1">
        <f t="shared" si="2"/>
        <v>2.1</v>
      </c>
    </row>
    <row r="26" spans="2:10" x14ac:dyDescent="0.25">
      <c r="B26" s="1">
        <v>0</v>
      </c>
      <c r="C26" s="1">
        <v>0</v>
      </c>
      <c r="D26" s="1">
        <v>2.1999999999999999E-2</v>
      </c>
      <c r="E26" s="1">
        <v>-9.6815750000000006E-2</v>
      </c>
      <c r="F26" s="1">
        <v>-1.096448E-2</v>
      </c>
      <c r="G26" s="1">
        <f t="shared" si="0"/>
        <v>-0.10778023</v>
      </c>
      <c r="H26" s="1">
        <f t="shared" si="1"/>
        <v>-5.4967917300000002E-2</v>
      </c>
      <c r="I26" s="1">
        <f>Cr_FTC_2!O26/'Cr_FTC_2 (2)'!H26</f>
        <v>1.8306500399279271</v>
      </c>
      <c r="J26" s="1">
        <f t="shared" si="2"/>
        <v>2.1999999999999997</v>
      </c>
    </row>
    <row r="27" spans="2:10" x14ac:dyDescent="0.25">
      <c r="B27" s="1">
        <v>0</v>
      </c>
      <c r="C27" s="1">
        <v>0</v>
      </c>
      <c r="D27" s="1">
        <v>2.3E-2</v>
      </c>
      <c r="E27" s="1">
        <v>-9.0567999999999996E-2</v>
      </c>
      <c r="F27" s="1">
        <v>-1.025706E-2</v>
      </c>
      <c r="G27" s="1">
        <f t="shared" si="0"/>
        <v>-0.10082505999999999</v>
      </c>
      <c r="H27" s="1">
        <f t="shared" si="1"/>
        <v>-5.14207806E-2</v>
      </c>
      <c r="I27" s="1">
        <f>Cr_FTC_2!O27/'Cr_FTC_2 (2)'!H27</f>
        <v>2.18382449059904</v>
      </c>
      <c r="J27" s="1">
        <f t="shared" si="2"/>
        <v>2.2999999999999998</v>
      </c>
    </row>
    <row r="28" spans="2:10" x14ac:dyDescent="0.25">
      <c r="B28" s="1">
        <v>0</v>
      </c>
      <c r="C28" s="1">
        <v>0</v>
      </c>
      <c r="D28" s="1">
        <v>2.4E-2</v>
      </c>
      <c r="E28" s="1">
        <v>-8.3483470000000004E-2</v>
      </c>
      <c r="F28" s="1">
        <v>-9.4548410000000003E-3</v>
      </c>
      <c r="G28" s="1">
        <f t="shared" si="0"/>
        <v>-9.293831100000001E-2</v>
      </c>
      <c r="H28" s="1">
        <f t="shared" si="1"/>
        <v>-4.7398538610000006E-2</v>
      </c>
      <c r="I28" s="1">
        <f>Cr_FTC_2!O28/'Cr_FTC_2 (2)'!H28</f>
        <v>2.6359158671115828</v>
      </c>
      <c r="J28" s="1">
        <f t="shared" si="2"/>
        <v>2.4</v>
      </c>
    </row>
    <row r="29" spans="2:10" x14ac:dyDescent="0.25">
      <c r="B29" s="1">
        <v>0</v>
      </c>
      <c r="C29" s="1">
        <v>0</v>
      </c>
      <c r="D29" s="1">
        <v>2.5000000000000001E-2</v>
      </c>
      <c r="E29" s="1">
        <v>-7.5893500000000003E-2</v>
      </c>
      <c r="F29" s="1">
        <v>-8.595353E-3</v>
      </c>
      <c r="G29" s="1">
        <f t="shared" si="0"/>
        <v>-8.4488853000000003E-2</v>
      </c>
      <c r="H29" s="1">
        <f t="shared" si="1"/>
        <v>-4.3089315030000006E-2</v>
      </c>
      <c r="I29" s="1">
        <f>Cr_FTC_2!O29/'Cr_FTC_2 (2)'!H29</f>
        <v>3.212217226094995</v>
      </c>
      <c r="J29" s="1">
        <f t="shared" si="2"/>
        <v>2.5</v>
      </c>
    </row>
    <row r="30" spans="2:10" x14ac:dyDescent="0.25">
      <c r="B30" s="1">
        <v>0</v>
      </c>
      <c r="C30" s="1">
        <v>0</v>
      </c>
      <c r="D30" s="1">
        <v>2.5999999999999999E-2</v>
      </c>
      <c r="E30" s="1">
        <v>-6.8233160000000001E-2</v>
      </c>
      <c r="F30" s="1">
        <v>-7.7278690000000001E-3</v>
      </c>
      <c r="G30" s="1">
        <f t="shared" si="0"/>
        <v>-7.5961028999999999E-2</v>
      </c>
      <c r="H30" s="1">
        <f t="shared" si="1"/>
        <v>-3.8740124790000004E-2</v>
      </c>
      <c r="I30" s="1">
        <f>Cr_FTC_2!O30/'Cr_FTC_2 (2)'!H30</f>
        <v>3.9344599643454061</v>
      </c>
      <c r="J30" s="1">
        <f t="shared" si="2"/>
        <v>2.6</v>
      </c>
    </row>
    <row r="31" spans="2:10" x14ac:dyDescent="0.25">
      <c r="B31" s="1">
        <v>0</v>
      </c>
      <c r="C31" s="1">
        <v>0</v>
      </c>
      <c r="D31" s="1">
        <v>2.7E-2</v>
      </c>
      <c r="E31" s="1">
        <v>-6.0995929999999997E-2</v>
      </c>
      <c r="F31" s="1">
        <v>-6.9082780000000003E-3</v>
      </c>
      <c r="G31" s="1">
        <f t="shared" si="0"/>
        <v>-6.7904207999999994E-2</v>
      </c>
      <c r="H31" s="1">
        <f t="shared" si="1"/>
        <v>-3.4631146079999994E-2</v>
      </c>
      <c r="I31" s="1">
        <f>Cr_FTC_2!O31/'Cr_FTC_2 (2)'!H31</f>
        <v>4.8056145648645545</v>
      </c>
      <c r="J31" s="1">
        <f t="shared" si="2"/>
        <v>2.7</v>
      </c>
    </row>
    <row r="32" spans="2:10" x14ac:dyDescent="0.25">
      <c r="B32" s="1">
        <v>0</v>
      </c>
      <c r="C32" s="1">
        <v>0</v>
      </c>
      <c r="D32" s="1">
        <v>2.8000000000000001E-2</v>
      </c>
      <c r="E32" s="1">
        <v>-5.4778750000000001E-2</v>
      </c>
      <c r="F32" s="1">
        <v>-6.2041919999999999E-3</v>
      </c>
      <c r="G32" s="1">
        <f t="shared" si="0"/>
        <v>-6.0982941999999998E-2</v>
      </c>
      <c r="H32" s="1">
        <f t="shared" si="1"/>
        <v>-3.1101300419999998E-2</v>
      </c>
      <c r="I32" s="1">
        <f>Cr_FTC_2!O32/'Cr_FTC_2 (2)'!H32</f>
        <v>5.769109251927544</v>
      </c>
      <c r="J32" s="1">
        <f t="shared" si="2"/>
        <v>2.8000000000000003</v>
      </c>
    </row>
    <row r="33" spans="2:10" x14ac:dyDescent="0.25">
      <c r="B33" s="1">
        <v>0</v>
      </c>
      <c r="C33" s="1">
        <v>0</v>
      </c>
      <c r="D33" s="1">
        <v>2.9000000000000001E-2</v>
      </c>
      <c r="E33" s="1">
        <v>-5.0295390000000002E-2</v>
      </c>
      <c r="F33" s="1">
        <v>-5.6964520000000003E-3</v>
      </c>
      <c r="G33" s="1">
        <f t="shared" si="0"/>
        <v>-5.5991842E-2</v>
      </c>
      <c r="H33" s="1">
        <f t="shared" si="1"/>
        <v>-2.855583942E-2</v>
      </c>
      <c r="I33" s="1">
        <f>Cr_FTC_2!O33/'Cr_FTC_2 (2)'!H33</f>
        <v>6.6401462485881986</v>
      </c>
      <c r="J33" s="1">
        <f t="shared" si="2"/>
        <v>2.9000000000000004</v>
      </c>
    </row>
    <row r="34" spans="2:10" x14ac:dyDescent="0.25">
      <c r="B34" s="1">
        <v>0</v>
      </c>
      <c r="C34" s="1">
        <v>0</v>
      </c>
      <c r="D34" s="1">
        <v>0.03</v>
      </c>
      <c r="E34" s="1">
        <v>-4.8591830000000003E-2</v>
      </c>
      <c r="F34" s="1">
        <v>-5.5035220000000003E-3</v>
      </c>
      <c r="G34" s="1">
        <f t="shared" si="0"/>
        <v>-5.4095351999999999E-2</v>
      </c>
      <c r="H34" s="1">
        <f t="shared" si="1"/>
        <v>-2.7588629520000001E-2</v>
      </c>
      <c r="I34" s="1">
        <f>Cr_FTC_2!O34/'Cr_FTC_2 (2)'!H34</f>
        <v>7.0217746720461225</v>
      </c>
      <c r="J34" s="1">
        <f t="shared" si="2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V35" sqref="V35"/>
    </sheetView>
  </sheetViews>
  <sheetFormatPr defaultRowHeight="15" x14ac:dyDescent="0.25"/>
  <cols>
    <col min="7" max="7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27</v>
      </c>
      <c r="G2" t="s">
        <v>26</v>
      </c>
      <c r="H2">
        <v>0.51</v>
      </c>
    </row>
    <row r="3" spans="1:10" x14ac:dyDescent="0.25">
      <c r="G3" t="s">
        <v>29</v>
      </c>
      <c r="H3" t="s">
        <v>31</v>
      </c>
      <c r="I3" t="s">
        <v>32</v>
      </c>
    </row>
    <row r="4" spans="1:10" x14ac:dyDescent="0.25">
      <c r="B4" s="1">
        <v>0</v>
      </c>
      <c r="C4" s="1">
        <v>0</v>
      </c>
      <c r="D4" s="1">
        <v>0</v>
      </c>
      <c r="E4" s="1">
        <v>-0.11731709999999999</v>
      </c>
      <c r="F4" s="1">
        <v>-1.328302E-2</v>
      </c>
      <c r="G4" s="1">
        <f>SUM(E4:F4)</f>
        <v>-0.13060011999999999</v>
      </c>
      <c r="H4" s="1">
        <f>G4*$H$2</f>
        <v>-6.6606061199999997E-2</v>
      </c>
      <c r="I4" s="1">
        <f>Cr_FTC_1!O4/'Cr_FTC_1 (2)'!H4</f>
        <v>7.2075444989682111</v>
      </c>
      <c r="J4" s="1">
        <f>D4*100</f>
        <v>0</v>
      </c>
    </row>
    <row r="5" spans="1:10" x14ac:dyDescent="0.25">
      <c r="B5" s="1">
        <v>0</v>
      </c>
      <c r="C5" s="1">
        <v>0</v>
      </c>
      <c r="D5" s="1">
        <v>1E-3</v>
      </c>
      <c r="E5" s="1">
        <v>-0.1141205</v>
      </c>
      <c r="F5" s="1">
        <v>-1.292133E-2</v>
      </c>
      <c r="G5" s="1">
        <f t="shared" ref="G5:G34" si="0">SUM(E5:F5)</f>
        <v>-0.12704182999999999</v>
      </c>
      <c r="H5" s="1">
        <f t="shared" ref="H5:H34" si="1">G5*$H$2</f>
        <v>-6.4791333300000004E-2</v>
      </c>
      <c r="I5" s="1">
        <f>Cr_FTC_1!O5/'Cr_FTC_1 (2)'!H5</f>
        <v>7.6878167901508512</v>
      </c>
      <c r="J5" s="1">
        <f t="shared" ref="J5:J34" si="2">D5*100</f>
        <v>0.1</v>
      </c>
    </row>
    <row r="6" spans="1:10" x14ac:dyDescent="0.25">
      <c r="B6" s="1">
        <v>0</v>
      </c>
      <c r="C6" s="1">
        <v>0</v>
      </c>
      <c r="D6" s="1">
        <v>2E-3</v>
      </c>
      <c r="E6" s="1">
        <v>-9.183231E-2</v>
      </c>
      <c r="F6" s="1">
        <v>-1.039792E-2</v>
      </c>
      <c r="G6" s="1">
        <f t="shared" si="0"/>
        <v>-0.10223023000000001</v>
      </c>
      <c r="H6" s="1">
        <f t="shared" si="1"/>
        <v>-5.2137417300000002E-2</v>
      </c>
      <c r="I6" s="1">
        <f>Cr_FTC_1!O6/'Cr_FTC_1 (2)'!H6</f>
        <v>9.953712264147768</v>
      </c>
      <c r="J6" s="1">
        <f t="shared" si="2"/>
        <v>0.2</v>
      </c>
    </row>
    <row r="7" spans="1:10" x14ac:dyDescent="0.25">
      <c r="B7" s="1">
        <v>0</v>
      </c>
      <c r="C7" s="1">
        <v>0</v>
      </c>
      <c r="D7" s="1">
        <v>3.0000000000000001E-3</v>
      </c>
      <c r="E7" s="1">
        <v>-7.0577650000000006E-2</v>
      </c>
      <c r="F7" s="1">
        <v>-7.9914449999999998E-3</v>
      </c>
      <c r="G7" s="1">
        <f t="shared" si="0"/>
        <v>-7.8569095000000005E-2</v>
      </c>
      <c r="H7" s="1">
        <f t="shared" si="1"/>
        <v>-4.0070238450000004E-2</v>
      </c>
      <c r="I7" s="1">
        <f>Cr_FTC_1!O7/'Cr_FTC_1 (2)'!H7</f>
        <v>13.36149473300676</v>
      </c>
      <c r="J7" s="1">
        <f t="shared" si="2"/>
        <v>0.3</v>
      </c>
    </row>
    <row r="8" spans="1:10" x14ac:dyDescent="0.25">
      <c r="B8" s="1">
        <v>0</v>
      </c>
      <c r="C8" s="1">
        <v>0</v>
      </c>
      <c r="D8" s="1">
        <v>4.0000000000000001E-3</v>
      </c>
      <c r="E8" s="1">
        <v>-5.316717E-2</v>
      </c>
      <c r="F8" s="1">
        <v>-6.0201669999999999E-3</v>
      </c>
      <c r="G8" s="1">
        <f t="shared" si="0"/>
        <v>-5.9187337E-2</v>
      </c>
      <c r="H8" s="1">
        <f t="shared" si="1"/>
        <v>-3.0185541869999999E-2</v>
      </c>
      <c r="I8" s="1">
        <f>Cr_FTC_1!O8/'Cr_FTC_1 (2)'!H8</f>
        <v>18.108491885092008</v>
      </c>
      <c r="J8" s="1">
        <f t="shared" si="2"/>
        <v>0.4</v>
      </c>
    </row>
    <row r="9" spans="1:10" x14ac:dyDescent="0.25">
      <c r="B9" s="1">
        <v>0</v>
      </c>
      <c r="C9" s="1">
        <v>0</v>
      </c>
      <c r="D9" s="1">
        <v>5.0000000000000001E-3</v>
      </c>
      <c r="E9" s="1">
        <v>-3.9441959999999998E-2</v>
      </c>
      <c r="F9" s="1">
        <v>-4.4661170000000004E-3</v>
      </c>
      <c r="G9" s="1">
        <f t="shared" si="0"/>
        <v>-4.3908076999999997E-2</v>
      </c>
      <c r="H9" s="1">
        <f t="shared" si="1"/>
        <v>-2.2393119269999998E-2</v>
      </c>
      <c r="I9" s="1">
        <f>Cr_FTC_1!O9/'Cr_FTC_1 (2)'!H9</f>
        <v>24.679671167580043</v>
      </c>
      <c r="J9" s="1">
        <f t="shared" si="2"/>
        <v>0.5</v>
      </c>
    </row>
    <row r="10" spans="1:10" x14ac:dyDescent="0.25">
      <c r="B10" s="1">
        <v>0</v>
      </c>
      <c r="C10" s="1">
        <v>0</v>
      </c>
      <c r="D10" s="1">
        <v>6.0000000000000001E-3</v>
      </c>
      <c r="E10" s="1">
        <v>-2.8876019999999999E-2</v>
      </c>
      <c r="F10" s="1">
        <v>-3.2697580000000002E-3</v>
      </c>
      <c r="G10" s="1">
        <f t="shared" si="0"/>
        <v>-3.2145778E-2</v>
      </c>
      <c r="H10" s="1">
        <f t="shared" si="1"/>
        <v>-1.6394346779999999E-2</v>
      </c>
      <c r="I10" s="1">
        <f>Cr_FTC_1!O10/'Cr_FTC_1 (2)'!H10</f>
        <v>33.772398341326294</v>
      </c>
      <c r="J10" s="1">
        <f t="shared" si="2"/>
        <v>0.6</v>
      </c>
    </row>
    <row r="11" spans="1:10" x14ac:dyDescent="0.25">
      <c r="B11" s="1">
        <v>0</v>
      </c>
      <c r="C11" s="1">
        <v>0</v>
      </c>
      <c r="D11" s="1">
        <v>7.0000000000000001E-3</v>
      </c>
      <c r="E11" s="1">
        <v>-2.0930520000000001E-2</v>
      </c>
      <c r="F11" s="1">
        <v>-2.37009E-3</v>
      </c>
      <c r="G11" s="1">
        <f t="shared" si="0"/>
        <v>-2.3300609999999999E-2</v>
      </c>
      <c r="H11" s="1">
        <f t="shared" si="1"/>
        <v>-1.18833111E-2</v>
      </c>
      <c r="I11" s="1">
        <f>Cr_FTC_1!O11/'Cr_FTC_1 (2)'!H11</f>
        <v>46.274222341953163</v>
      </c>
      <c r="J11" s="1">
        <f t="shared" si="2"/>
        <v>0.70000000000000007</v>
      </c>
    </row>
    <row r="12" spans="1:10" x14ac:dyDescent="0.25">
      <c r="B12" s="1">
        <v>0</v>
      </c>
      <c r="C12" s="1">
        <v>0</v>
      </c>
      <c r="D12" s="1">
        <v>8.0000000000000002E-3</v>
      </c>
      <c r="E12" s="1">
        <v>-1.509192E-2</v>
      </c>
      <c r="F12" s="1">
        <v>-1.7089749999999999E-3</v>
      </c>
      <c r="G12" s="1">
        <f t="shared" si="0"/>
        <v>-1.6800895E-2</v>
      </c>
      <c r="H12" s="1">
        <f t="shared" si="1"/>
        <v>-8.5684564499999994E-3</v>
      </c>
      <c r="I12" s="1">
        <f>Cr_FTC_1!O12/'Cr_FTC_1 (2)'!H12</f>
        <v>63.204438647756689</v>
      </c>
      <c r="J12" s="1">
        <f t="shared" si="2"/>
        <v>0.8</v>
      </c>
    </row>
    <row r="13" spans="1:10" x14ac:dyDescent="0.25">
      <c r="B13" s="1">
        <v>0</v>
      </c>
      <c r="C13" s="1">
        <v>0</v>
      </c>
      <c r="D13" s="1">
        <v>8.9999999999999993E-3</v>
      </c>
      <c r="E13" s="1">
        <v>-1.088865E-2</v>
      </c>
      <c r="F13" s="1">
        <v>-1.233025E-3</v>
      </c>
      <c r="G13" s="1">
        <f t="shared" si="0"/>
        <v>-1.2121675E-2</v>
      </c>
      <c r="H13" s="1">
        <f t="shared" si="1"/>
        <v>-6.1820542500000001E-3</v>
      </c>
      <c r="I13" s="1">
        <f>Cr_FTC_1!O13/'Cr_FTC_1 (2)'!H13</f>
        <v>85.574832993418013</v>
      </c>
      <c r="J13" s="1">
        <f t="shared" si="2"/>
        <v>0.89999999999999991</v>
      </c>
    </row>
    <row r="14" spans="1:10" x14ac:dyDescent="0.25">
      <c r="B14" s="1">
        <v>0</v>
      </c>
      <c r="C14" s="1">
        <v>0</v>
      </c>
      <c r="D14" s="1">
        <v>0.01</v>
      </c>
      <c r="E14" s="1">
        <v>-7.9114830000000004E-3</v>
      </c>
      <c r="F14" s="1">
        <v>-8.9590649999999998E-4</v>
      </c>
      <c r="G14" s="1">
        <f t="shared" si="0"/>
        <v>-8.8073895000000003E-3</v>
      </c>
      <c r="H14" s="1">
        <f t="shared" si="1"/>
        <v>-4.4917686450000006E-3</v>
      </c>
      <c r="I14" s="1">
        <f>Cr_FTC_1!O14/'Cr_FTC_1 (2)'!H14</f>
        <v>114.14145975009359</v>
      </c>
      <c r="J14" s="1">
        <f t="shared" si="2"/>
        <v>1</v>
      </c>
    </row>
    <row r="15" spans="1:10" x14ac:dyDescent="0.25">
      <c r="B15" s="1">
        <v>0</v>
      </c>
      <c r="C15" s="1">
        <v>0</v>
      </c>
      <c r="D15" s="1">
        <v>1.0999999999999999E-2</v>
      </c>
      <c r="E15" s="1">
        <v>-5.8278469999999997E-3</v>
      </c>
      <c r="F15" s="1">
        <v>-6.5996329999999995E-4</v>
      </c>
      <c r="G15" s="1">
        <f t="shared" si="0"/>
        <v>-6.4878102999999998E-3</v>
      </c>
      <c r="H15" s="1">
        <f t="shared" si="1"/>
        <v>-3.3087832529999999E-3</v>
      </c>
      <c r="I15" s="1">
        <f>Cr_FTC_1!O15/'Cr_FTC_1 (2)'!H15</f>
        <v>149.02101536960362</v>
      </c>
      <c r="J15" s="1">
        <f t="shared" si="2"/>
        <v>1.0999999999999999</v>
      </c>
    </row>
    <row r="16" spans="1:10" x14ac:dyDescent="0.25">
      <c r="B16" s="1">
        <v>0</v>
      </c>
      <c r="C16" s="1">
        <v>0</v>
      </c>
      <c r="D16" s="1">
        <v>1.2E-2</v>
      </c>
      <c r="E16" s="1">
        <v>-4.3831010000000004E-3</v>
      </c>
      <c r="F16" s="1">
        <v>-4.9636389999999997E-4</v>
      </c>
      <c r="G16" s="1">
        <f t="shared" si="0"/>
        <v>-4.8794648999999999E-3</v>
      </c>
      <c r="H16" s="1">
        <f t="shared" si="1"/>
        <v>-2.488527099E-3</v>
      </c>
      <c r="I16" s="1">
        <f>Cr_FTC_1!O16/'Cr_FTC_1 (2)'!H16</f>
        <v>189.1721855024895</v>
      </c>
      <c r="J16" s="1">
        <f t="shared" si="2"/>
        <v>1.2</v>
      </c>
    </row>
    <row r="17" spans="2:10" x14ac:dyDescent="0.25">
      <c r="B17" s="1">
        <v>0</v>
      </c>
      <c r="C17" s="1">
        <v>0</v>
      </c>
      <c r="D17" s="1">
        <v>1.2999999999999999E-2</v>
      </c>
      <c r="E17" s="1">
        <v>-3.3903480000000001E-3</v>
      </c>
      <c r="F17" s="1">
        <v>-3.8394600000000003E-4</v>
      </c>
      <c r="G17" s="1">
        <f t="shared" si="0"/>
        <v>-3.7742940000000001E-3</v>
      </c>
      <c r="H17" s="1">
        <f t="shared" si="1"/>
        <v>-1.9248899400000001E-3</v>
      </c>
      <c r="I17" s="1">
        <f>Cr_FTC_1!O17/'Cr_FTC_1 (2)'!H17</f>
        <v>231.89822478889366</v>
      </c>
      <c r="J17" s="1">
        <f t="shared" si="2"/>
        <v>1.3</v>
      </c>
    </row>
    <row r="18" spans="2:10" x14ac:dyDescent="0.25">
      <c r="B18" s="1">
        <v>0</v>
      </c>
      <c r="C18" s="1">
        <v>0</v>
      </c>
      <c r="D18" s="1">
        <v>1.4E-2</v>
      </c>
      <c r="E18" s="1">
        <v>-2.7150360000000001E-3</v>
      </c>
      <c r="F18" s="1">
        <v>-3.0747439999999999E-4</v>
      </c>
      <c r="G18" s="1">
        <f t="shared" si="0"/>
        <v>-3.0225104000000001E-3</v>
      </c>
      <c r="H18" s="1">
        <f t="shared" si="1"/>
        <v>-1.5414803040000001E-3</v>
      </c>
      <c r="I18" s="1">
        <f>Cr_FTC_1!O18/'Cr_FTC_1 (2)'!H18</f>
        <v>272.83710917917767</v>
      </c>
      <c r="J18" s="1">
        <f t="shared" si="2"/>
        <v>1.4000000000000001</v>
      </c>
    </row>
    <row r="19" spans="2:10" x14ac:dyDescent="0.25">
      <c r="B19" s="1">
        <v>0</v>
      </c>
      <c r="C19" s="1">
        <v>0</v>
      </c>
      <c r="D19" s="1">
        <v>1.4999999999999999E-2</v>
      </c>
      <c r="E19" s="1">
        <v>-2.2603639999999999E-3</v>
      </c>
      <c r="F19" s="1">
        <v>-2.5598770000000002E-4</v>
      </c>
      <c r="G19" s="1">
        <f t="shared" si="0"/>
        <v>-2.5163516999999998E-3</v>
      </c>
      <c r="H19" s="1">
        <f t="shared" si="1"/>
        <v>-1.2833393669999999E-3</v>
      </c>
      <c r="I19" s="1">
        <f>Cr_FTC_1!O19/'Cr_FTC_1 (2)'!H19</f>
        <v>306.9703931243933</v>
      </c>
      <c r="J19" s="1">
        <f t="shared" si="2"/>
        <v>1.5</v>
      </c>
    </row>
    <row r="20" spans="2:10" x14ac:dyDescent="0.25">
      <c r="B20" s="1">
        <v>0</v>
      </c>
      <c r="C20" s="1">
        <v>0</v>
      </c>
      <c r="D20" s="1">
        <v>1.6E-2</v>
      </c>
      <c r="E20" s="1">
        <v>-1.9563829999999999E-3</v>
      </c>
      <c r="F20" s="1">
        <v>-2.2156549999999999E-4</v>
      </c>
      <c r="G20" s="1">
        <f t="shared" si="0"/>
        <v>-2.1779485E-3</v>
      </c>
      <c r="H20" s="1">
        <f t="shared" si="1"/>
        <v>-1.110753735E-3</v>
      </c>
      <c r="I20" s="1">
        <f>Cr_FTC_1!O20/'Cr_FTC_1 (2)'!H20</f>
        <v>330.44280512817721</v>
      </c>
      <c r="J20" s="1">
        <f t="shared" si="2"/>
        <v>1.6</v>
      </c>
    </row>
    <row r="21" spans="2:10" x14ac:dyDescent="0.25">
      <c r="B21" s="1">
        <v>0</v>
      </c>
      <c r="C21" s="1">
        <v>0</v>
      </c>
      <c r="D21" s="1">
        <v>1.7000000000000001E-2</v>
      </c>
      <c r="E21" s="1">
        <v>-1.7529080000000001E-3</v>
      </c>
      <c r="F21" s="1">
        <v>-1.9852499999999999E-4</v>
      </c>
      <c r="G21" s="1">
        <f t="shared" si="0"/>
        <v>-1.951433E-3</v>
      </c>
      <c r="H21" s="1">
        <f t="shared" si="1"/>
        <v>-9.952308300000001E-4</v>
      </c>
      <c r="I21" s="1">
        <f>Cr_FTC_1!O21/'Cr_FTC_1 (2)'!H21</f>
        <v>341.94494356650904</v>
      </c>
      <c r="J21" s="1">
        <f t="shared" si="2"/>
        <v>1.7000000000000002</v>
      </c>
    </row>
    <row r="22" spans="2:10" x14ac:dyDescent="0.25">
      <c r="B22" s="1">
        <v>0</v>
      </c>
      <c r="C22" s="1">
        <v>0</v>
      </c>
      <c r="D22" s="1">
        <v>1.7999999999999999E-2</v>
      </c>
      <c r="E22" s="1">
        <v>-1.614112E-3</v>
      </c>
      <c r="F22" s="1">
        <v>-1.82809E-4</v>
      </c>
      <c r="G22" s="1">
        <f t="shared" si="0"/>
        <v>-1.7969209999999999E-3</v>
      </c>
      <c r="H22" s="1">
        <f t="shared" si="1"/>
        <v>-9.1642970999999995E-4</v>
      </c>
      <c r="I22" s="1">
        <f>Cr_FTC_1!O22/'Cr_FTC_1 (2)'!H22</f>
        <v>342.7936879086995</v>
      </c>
      <c r="J22" s="1">
        <f t="shared" si="2"/>
        <v>1.7999999999999998</v>
      </c>
    </row>
    <row r="23" spans="2:10" x14ac:dyDescent="0.25">
      <c r="B23" s="1">
        <v>0</v>
      </c>
      <c r="C23" s="1">
        <v>0</v>
      </c>
      <c r="D23" s="1">
        <v>1.9E-2</v>
      </c>
      <c r="E23" s="1">
        <v>-1.5156049999999999E-3</v>
      </c>
      <c r="F23" s="1">
        <v>-1.7165560000000001E-4</v>
      </c>
      <c r="G23" s="1">
        <f t="shared" si="0"/>
        <v>-1.6872605999999999E-3</v>
      </c>
      <c r="H23" s="1">
        <f t="shared" si="1"/>
        <v>-8.6050290599999993E-4</v>
      </c>
      <c r="I23" s="1">
        <f>Cr_FTC_1!O23/'Cr_FTC_1 (2)'!H23</f>
        <v>335.65973802765984</v>
      </c>
      <c r="J23" s="1">
        <f t="shared" si="2"/>
        <v>1.9</v>
      </c>
    </row>
    <row r="24" spans="2:10" x14ac:dyDescent="0.25">
      <c r="B24" s="1">
        <v>0</v>
      </c>
      <c r="C24" s="1">
        <v>0</v>
      </c>
      <c r="D24" s="1">
        <v>0.02</v>
      </c>
      <c r="E24" s="1">
        <v>-1.4409659999999999E-3</v>
      </c>
      <c r="F24" s="1">
        <v>-1.6320519999999999E-4</v>
      </c>
      <c r="G24" s="1">
        <f t="shared" si="0"/>
        <v>-1.6041711999999998E-3</v>
      </c>
      <c r="H24" s="1">
        <f t="shared" si="1"/>
        <v>-8.1812731199999993E-4</v>
      </c>
      <c r="I24" s="1">
        <f>Cr_FTC_1!O24/'Cr_FTC_1 (2)'!H24</f>
        <v>323.42815857490893</v>
      </c>
      <c r="J24" s="1">
        <f t="shared" si="2"/>
        <v>2</v>
      </c>
    </row>
    <row r="25" spans="2:10" x14ac:dyDescent="0.25">
      <c r="B25" s="1">
        <v>0</v>
      </c>
      <c r="C25" s="1">
        <v>0</v>
      </c>
      <c r="D25" s="1">
        <v>2.1000000000000001E-2</v>
      </c>
      <c r="E25" s="1">
        <v>-1.3795560000000001E-3</v>
      </c>
      <c r="F25" s="1">
        <v>-1.5625280000000001E-4</v>
      </c>
      <c r="G25" s="1">
        <f t="shared" si="0"/>
        <v>-1.5358088000000001E-3</v>
      </c>
      <c r="H25" s="1">
        <f t="shared" si="1"/>
        <v>-7.8326248800000007E-4</v>
      </c>
      <c r="I25" s="1">
        <f>Cr_FTC_1!O25/'Cr_FTC_1 (2)'!H25</f>
        <v>308.47654994554006</v>
      </c>
      <c r="J25" s="1">
        <f t="shared" si="2"/>
        <v>2.1</v>
      </c>
    </row>
    <row r="26" spans="2:10" x14ac:dyDescent="0.25">
      <c r="B26" s="1">
        <v>0</v>
      </c>
      <c r="C26" s="1">
        <v>0</v>
      </c>
      <c r="D26" s="1">
        <v>2.1999999999999999E-2</v>
      </c>
      <c r="E26" s="1">
        <v>-1.3247580000000001E-3</v>
      </c>
      <c r="F26" s="1">
        <v>-1.5004910000000001E-4</v>
      </c>
      <c r="G26" s="1">
        <f t="shared" si="0"/>
        <v>-1.4748071000000001E-3</v>
      </c>
      <c r="H26" s="1">
        <f t="shared" si="1"/>
        <v>-7.5215162100000007E-4</v>
      </c>
      <c r="I26" s="1">
        <f>Cr_FTC_1!O26/'Cr_FTC_1 (2)'!H26</f>
        <v>292.47823691122511</v>
      </c>
      <c r="J26" s="1">
        <f t="shared" si="2"/>
        <v>2.1999999999999997</v>
      </c>
    </row>
    <row r="27" spans="2:10" x14ac:dyDescent="0.25">
      <c r="B27" s="1">
        <v>0</v>
      </c>
      <c r="C27" s="1">
        <v>0</v>
      </c>
      <c r="D27" s="1">
        <v>2.3E-2</v>
      </c>
      <c r="E27" s="1">
        <v>-1.272685E-3</v>
      </c>
      <c r="F27" s="1">
        <v>-1.441538E-4</v>
      </c>
      <c r="G27" s="1">
        <f t="shared" si="0"/>
        <v>-1.4168388E-3</v>
      </c>
      <c r="H27" s="1">
        <f t="shared" si="1"/>
        <v>-7.2258778800000001E-4</v>
      </c>
      <c r="I27" s="1">
        <f>Cr_FTC_1!O27/'Cr_FTC_1 (2)'!H27</f>
        <v>276.48967131451161</v>
      </c>
      <c r="J27" s="1">
        <f t="shared" si="2"/>
        <v>2.2999999999999998</v>
      </c>
    </row>
    <row r="28" spans="2:10" x14ac:dyDescent="0.25">
      <c r="B28" s="1">
        <v>0</v>
      </c>
      <c r="C28" s="1">
        <v>0</v>
      </c>
      <c r="D28" s="1">
        <v>2.4E-2</v>
      </c>
      <c r="E28" s="1">
        <v>-1.2213079999999999E-3</v>
      </c>
      <c r="F28" s="1">
        <v>-1.3833730000000001E-4</v>
      </c>
      <c r="G28" s="1">
        <f t="shared" si="0"/>
        <v>-1.3596452999999999E-3</v>
      </c>
      <c r="H28" s="1">
        <f t="shared" si="1"/>
        <v>-6.9341910299999994E-4</v>
      </c>
      <c r="I28" s="1">
        <f>Cr_FTC_1!O28/'Cr_FTC_1 (2)'!H28</f>
        <v>261.12333683428966</v>
      </c>
      <c r="J28" s="1">
        <f t="shared" si="2"/>
        <v>2.4</v>
      </c>
    </row>
    <row r="29" spans="2:10" x14ac:dyDescent="0.25">
      <c r="B29" s="1">
        <v>0</v>
      </c>
      <c r="C29" s="1">
        <v>0</v>
      </c>
      <c r="D29" s="1">
        <v>2.5000000000000001E-2</v>
      </c>
      <c r="E29" s="1">
        <v>-1.16979E-3</v>
      </c>
      <c r="F29" s="1">
        <v>-1.325044E-4</v>
      </c>
      <c r="G29" s="1">
        <f t="shared" si="0"/>
        <v>-1.3022944E-3</v>
      </c>
      <c r="H29" s="1">
        <f t="shared" si="1"/>
        <v>-6.6417014400000003E-4</v>
      </c>
      <c r="I29" s="1">
        <f>Cr_FTC_1!O29/'Cr_FTC_1 (2)'!H29</f>
        <v>246.73993777112631</v>
      </c>
      <c r="J29" s="1">
        <f t="shared" si="2"/>
        <v>2.5</v>
      </c>
    </row>
    <row r="30" spans="2:10" x14ac:dyDescent="0.25">
      <c r="B30" s="1">
        <v>0</v>
      </c>
      <c r="C30" s="1">
        <v>0</v>
      </c>
      <c r="D30" s="1">
        <v>2.5999999999999999E-2</v>
      </c>
      <c r="E30" s="1">
        <v>-1.1181699999999999E-3</v>
      </c>
      <c r="F30" s="1">
        <v>-1.266599E-4</v>
      </c>
      <c r="G30" s="1">
        <f t="shared" si="0"/>
        <v>-1.2448298999999999E-3</v>
      </c>
      <c r="H30" s="1">
        <f t="shared" si="1"/>
        <v>-6.3486324899999992E-4</v>
      </c>
      <c r="I30" s="1">
        <f>Cr_FTC_1!O30/'Cr_FTC_1 (2)'!H30</f>
        <v>233.59321906503999</v>
      </c>
      <c r="J30" s="1">
        <f t="shared" si="2"/>
        <v>2.6</v>
      </c>
    </row>
    <row r="31" spans="2:10" x14ac:dyDescent="0.25">
      <c r="B31" s="1">
        <v>0</v>
      </c>
      <c r="C31" s="1">
        <v>0</v>
      </c>
      <c r="D31" s="1">
        <v>2.7E-2</v>
      </c>
      <c r="E31" s="1">
        <v>-1.0675120000000001E-3</v>
      </c>
      <c r="F31" s="1">
        <v>-1.209239E-4</v>
      </c>
      <c r="G31" s="1">
        <f t="shared" si="0"/>
        <v>-1.1884359000000001E-3</v>
      </c>
      <c r="H31" s="1">
        <f t="shared" si="1"/>
        <v>-6.0610230900000003E-4</v>
      </c>
      <c r="I31" s="1">
        <f>Cr_FTC_1!O31/'Cr_FTC_1 (2)'!H31</f>
        <v>221.94967417621237</v>
      </c>
      <c r="J31" s="1">
        <f t="shared" si="2"/>
        <v>2.7</v>
      </c>
    </row>
    <row r="32" spans="2:10" x14ac:dyDescent="0.25">
      <c r="B32" s="1">
        <v>0</v>
      </c>
      <c r="C32" s="1">
        <v>0</v>
      </c>
      <c r="D32" s="1">
        <v>2.8000000000000001E-2</v>
      </c>
      <c r="E32" s="1">
        <v>-1.020567E-3</v>
      </c>
      <c r="F32" s="1">
        <v>-1.156083E-4</v>
      </c>
      <c r="G32" s="1">
        <f t="shared" si="0"/>
        <v>-1.1361753E-3</v>
      </c>
      <c r="H32" s="1">
        <f t="shared" si="1"/>
        <v>-5.7944940300000002E-4</v>
      </c>
      <c r="I32" s="1">
        <f>Cr_FTC_1!O32/'Cr_FTC_1 (2)'!H32</f>
        <v>212.2365634743781</v>
      </c>
      <c r="J32" s="1">
        <f t="shared" si="2"/>
        <v>2.8000000000000003</v>
      </c>
    </row>
    <row r="33" spans="2:10" x14ac:dyDescent="0.25">
      <c r="B33" s="1">
        <v>0</v>
      </c>
      <c r="C33" s="1">
        <v>0</v>
      </c>
      <c r="D33" s="1">
        <v>2.9000000000000001E-2</v>
      </c>
      <c r="E33" s="1">
        <v>-9.8341219999999998E-4</v>
      </c>
      <c r="F33" s="1">
        <v>-1.114012E-4</v>
      </c>
      <c r="G33" s="1">
        <f t="shared" si="0"/>
        <v>-1.0948134E-3</v>
      </c>
      <c r="H33" s="1">
        <f t="shared" si="1"/>
        <v>-5.5835483399999998E-4</v>
      </c>
      <c r="I33" s="1">
        <f>Cr_FTC_1!O33/'Cr_FTC_1 (2)'!H33</f>
        <v>205.25399445185067</v>
      </c>
      <c r="J33" s="1">
        <f t="shared" si="2"/>
        <v>2.9000000000000004</v>
      </c>
    </row>
    <row r="34" spans="2:10" x14ac:dyDescent="0.25">
      <c r="B34" s="1">
        <v>0</v>
      </c>
      <c r="C34" s="1">
        <v>0</v>
      </c>
      <c r="D34" s="1">
        <v>0.03</v>
      </c>
      <c r="E34" s="1">
        <v>-9.6824089999999997E-4</v>
      </c>
      <c r="F34" s="1">
        <v>-1.0968329999999999E-4</v>
      </c>
      <c r="G34" s="1">
        <f t="shared" si="0"/>
        <v>-1.0779241999999999E-3</v>
      </c>
      <c r="H34" s="1">
        <f t="shared" si="1"/>
        <v>-5.4974134200000001E-4</v>
      </c>
      <c r="I34" s="1">
        <f>Cr_FTC_1!O34/'Cr_FTC_1 (2)'!H34</f>
        <v>202.58154424922259</v>
      </c>
      <c r="J34" s="1">
        <f t="shared" si="2"/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3" sqref="D3"/>
    </sheetView>
  </sheetViews>
  <sheetFormatPr defaultRowHeight="15" x14ac:dyDescent="0.25"/>
  <cols>
    <col min="1" max="1" width="9" bestFit="1" customWidth="1"/>
    <col min="2" max="2" width="8.5703125" bestFit="1" customWidth="1"/>
    <col min="3" max="3" width="14.140625" bestFit="1" customWidth="1"/>
    <col min="4" max="4" width="13.42578125" customWidth="1"/>
    <col min="5" max="5" width="14" customWidth="1"/>
    <col min="6" max="7" width="14.7109375" bestFit="1" customWidth="1"/>
    <col min="8" max="9" width="13.85546875" bestFit="1" customWidth="1"/>
    <col min="10" max="10" width="11.85546875" bestFit="1" customWidth="1"/>
    <col min="11" max="11" width="11.42578125" bestFit="1" customWidth="1"/>
    <col min="12" max="12" width="13.7109375" bestFit="1" customWidth="1"/>
    <col min="13" max="13" width="13.42578125" bestFit="1" customWidth="1"/>
    <col min="14" max="14" width="7.42578125" bestFit="1" customWidth="1"/>
  </cols>
  <sheetData>
    <row r="1" spans="1:15" x14ac:dyDescent="0.25">
      <c r="A1" t="s">
        <v>0</v>
      </c>
      <c r="B1" t="s">
        <v>1</v>
      </c>
      <c r="C1" t="s">
        <v>2</v>
      </c>
    </row>
    <row r="2" spans="1:1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5" x14ac:dyDescent="0.25">
      <c r="A3" t="s">
        <v>16</v>
      </c>
      <c r="B3" t="s">
        <v>17</v>
      </c>
      <c r="C3" t="s">
        <v>1</v>
      </c>
      <c r="D3" t="s">
        <v>25</v>
      </c>
      <c r="E3" t="s">
        <v>19</v>
      </c>
      <c r="F3" t="s">
        <v>1</v>
      </c>
      <c r="G3">
        <v>31</v>
      </c>
      <c r="H3" t="s">
        <v>20</v>
      </c>
      <c r="I3" t="s">
        <v>1</v>
      </c>
      <c r="J3">
        <v>1</v>
      </c>
      <c r="K3" t="s">
        <v>21</v>
      </c>
      <c r="L3" t="s">
        <v>1</v>
      </c>
      <c r="M3">
        <v>1</v>
      </c>
      <c r="N3" t="s">
        <v>22</v>
      </c>
      <c r="O3" t="s">
        <v>28</v>
      </c>
    </row>
    <row r="4" spans="1:15" x14ac:dyDescent="0.25">
      <c r="B4" s="1">
        <v>0</v>
      </c>
      <c r="C4" s="1">
        <v>0</v>
      </c>
      <c r="D4" s="1">
        <v>0</v>
      </c>
      <c r="E4" s="1">
        <v>-5.2403249999999998E-2</v>
      </c>
      <c r="F4" s="1">
        <v>-2.9989900000000001E-6</v>
      </c>
      <c r="G4" s="1">
        <v>-3.3998860000000002E-7</v>
      </c>
      <c r="H4" s="1">
        <v>8.1482819999999997E-3</v>
      </c>
      <c r="I4" s="1">
        <v>9.2412600000000005E-4</v>
      </c>
      <c r="J4" s="1">
        <v>0</v>
      </c>
      <c r="K4" s="1">
        <v>0.222326</v>
      </c>
      <c r="L4" s="1">
        <v>-6.8263380000000004E-4</v>
      </c>
      <c r="M4" s="1">
        <v>2.7028119999999999E-2</v>
      </c>
      <c r="O4" s="1">
        <f>SUM(F4:G4)</f>
        <v>-3.3389786E-6</v>
      </c>
    </row>
    <row r="5" spans="1:15" x14ac:dyDescent="0.25">
      <c r="B5" s="1">
        <v>0</v>
      </c>
      <c r="C5" s="1">
        <v>0</v>
      </c>
      <c r="D5" s="1">
        <v>1E-3</v>
      </c>
      <c r="E5" s="1">
        <v>-3.9237029999999999E-2</v>
      </c>
      <c r="F5" s="1">
        <v>-1.150487E-5</v>
      </c>
      <c r="G5" s="1">
        <v>-1.3042829999999999E-6</v>
      </c>
      <c r="H5" s="1">
        <v>1.0186560000000001E-2</v>
      </c>
      <c r="I5" s="1">
        <v>1.153383E-3</v>
      </c>
      <c r="J5" s="1">
        <v>0</v>
      </c>
      <c r="K5" s="1">
        <v>0.1698876</v>
      </c>
      <c r="L5" s="1">
        <v>-6.7365090000000001E-4</v>
      </c>
      <c r="M5" s="1">
        <v>3.3843379999999999E-2</v>
      </c>
      <c r="O5" s="1">
        <f t="shared" ref="O5:O34" si="0">SUM(F5:G5)</f>
        <v>-1.2809153000000001E-5</v>
      </c>
    </row>
    <row r="6" spans="1:15" x14ac:dyDescent="0.25">
      <c r="B6" s="1">
        <v>0</v>
      </c>
      <c r="C6" s="1">
        <v>0</v>
      </c>
      <c r="D6" s="1">
        <v>2E-3</v>
      </c>
      <c r="E6" s="1">
        <v>-3.6782599999999999E-2</v>
      </c>
      <c r="F6" s="1">
        <v>-1.443708E-5</v>
      </c>
      <c r="G6" s="1">
        <v>-1.6367060000000001E-6</v>
      </c>
      <c r="H6" s="1">
        <v>1.0813359999999999E-2</v>
      </c>
      <c r="I6" s="1">
        <v>1.2243E-3</v>
      </c>
      <c r="J6" s="1">
        <v>0</v>
      </c>
      <c r="K6" s="1">
        <v>0.1338763</v>
      </c>
      <c r="L6" s="1">
        <v>-6.9913090000000005E-4</v>
      </c>
      <c r="M6" s="1">
        <v>3.6043039999999998E-2</v>
      </c>
      <c r="O6" s="1">
        <f t="shared" si="0"/>
        <v>-1.6073786E-5</v>
      </c>
    </row>
    <row r="7" spans="1:15" x14ac:dyDescent="0.25">
      <c r="B7" s="1">
        <v>0</v>
      </c>
      <c r="C7" s="1">
        <v>0</v>
      </c>
      <c r="D7" s="1">
        <v>3.0000000000000001E-3</v>
      </c>
      <c r="E7" s="1">
        <v>-3.6523E-2</v>
      </c>
      <c r="F7" s="1">
        <v>-1.4621579999999999E-5</v>
      </c>
      <c r="G7" s="1">
        <v>-1.6576260000000001E-6</v>
      </c>
      <c r="H7" s="1">
        <v>1.1116259999999999E-2</v>
      </c>
      <c r="I7" s="1">
        <v>1.2585960000000001E-3</v>
      </c>
      <c r="J7" s="1">
        <v>0</v>
      </c>
      <c r="K7" s="1">
        <v>0.1085274</v>
      </c>
      <c r="L7" s="1">
        <v>-7.2167300000000004E-4</v>
      </c>
      <c r="M7" s="1">
        <v>3.7080120000000001E-2</v>
      </c>
      <c r="O7" s="1">
        <f t="shared" si="0"/>
        <v>-1.6279205999999998E-5</v>
      </c>
    </row>
    <row r="8" spans="1:15" x14ac:dyDescent="0.25">
      <c r="B8" s="1">
        <v>0</v>
      </c>
      <c r="C8" s="1">
        <v>0</v>
      </c>
      <c r="D8" s="1">
        <v>4.0000000000000001E-3</v>
      </c>
      <c r="E8" s="1">
        <v>-3.6840650000000003E-2</v>
      </c>
      <c r="F8" s="1">
        <v>-1.406744E-5</v>
      </c>
      <c r="G8" s="1">
        <v>-1.594808E-6</v>
      </c>
      <c r="H8" s="1">
        <v>1.1324580000000001E-2</v>
      </c>
      <c r="I8" s="1">
        <v>1.282186E-3</v>
      </c>
      <c r="J8" s="1">
        <v>0</v>
      </c>
      <c r="K8" s="1">
        <v>9.0145400000000001E-2</v>
      </c>
      <c r="L8" s="1">
        <v>-7.37639E-4</v>
      </c>
      <c r="M8" s="1">
        <v>3.778314E-2</v>
      </c>
      <c r="O8" s="1">
        <f t="shared" si="0"/>
        <v>-1.5662247999999999E-5</v>
      </c>
    </row>
    <row r="9" spans="1:15" x14ac:dyDescent="0.25">
      <c r="B9" s="1">
        <v>0</v>
      </c>
      <c r="C9" s="1">
        <v>0</v>
      </c>
      <c r="D9" s="1">
        <v>5.0000000000000001E-3</v>
      </c>
      <c r="E9" s="1">
        <v>-3.7304669999999998E-2</v>
      </c>
      <c r="F9" s="1">
        <v>-1.3390220000000001E-5</v>
      </c>
      <c r="G9" s="1">
        <v>-1.5180360000000001E-6</v>
      </c>
      <c r="H9" s="1">
        <v>1.150107E-2</v>
      </c>
      <c r="I9" s="1">
        <v>1.302171E-3</v>
      </c>
      <c r="J9" s="1">
        <v>0</v>
      </c>
      <c r="K9" s="1">
        <v>7.6457059999999993E-2</v>
      </c>
      <c r="L9" s="1">
        <v>-7.4853940000000002E-4</v>
      </c>
      <c r="M9" s="1">
        <v>3.837517E-2</v>
      </c>
      <c r="O9" s="1">
        <f t="shared" si="0"/>
        <v>-1.4908256000000001E-5</v>
      </c>
    </row>
    <row r="10" spans="1:15" x14ac:dyDescent="0.25">
      <c r="B10" s="1">
        <v>0</v>
      </c>
      <c r="C10" s="1">
        <v>0</v>
      </c>
      <c r="D10" s="1">
        <v>6.0000000000000001E-3</v>
      </c>
      <c r="E10" s="1">
        <v>-3.7789330000000003E-2</v>
      </c>
      <c r="F10" s="1">
        <v>-1.276034E-5</v>
      </c>
      <c r="G10" s="1">
        <v>-1.4466310000000001E-6</v>
      </c>
      <c r="H10" s="1">
        <v>1.166243E-2</v>
      </c>
      <c r="I10" s="1">
        <v>1.320444E-3</v>
      </c>
      <c r="J10" s="1">
        <v>0</v>
      </c>
      <c r="K10" s="1">
        <v>6.6038940000000004E-2</v>
      </c>
      <c r="L10" s="1">
        <v>-7.5596949999999995E-4</v>
      </c>
      <c r="M10" s="1">
        <v>3.8915480000000002E-2</v>
      </c>
      <c r="O10" s="1">
        <f t="shared" si="0"/>
        <v>-1.4206971E-5</v>
      </c>
    </row>
    <row r="11" spans="1:15" x14ac:dyDescent="0.25">
      <c r="B11" s="1">
        <v>0</v>
      </c>
      <c r="C11" s="1">
        <v>0</v>
      </c>
      <c r="D11" s="1">
        <v>7.0000000000000001E-3</v>
      </c>
      <c r="E11" s="1">
        <v>-3.8259309999999998E-2</v>
      </c>
      <c r="F11" s="1">
        <v>-1.2220980000000001E-5</v>
      </c>
      <c r="G11" s="1">
        <v>-1.385487E-6</v>
      </c>
      <c r="H11" s="1">
        <v>1.181315E-2</v>
      </c>
      <c r="I11" s="1">
        <v>1.337511E-3</v>
      </c>
      <c r="J11" s="1">
        <v>0</v>
      </c>
      <c r="K11" s="1">
        <v>5.7970760000000003E-2</v>
      </c>
      <c r="L11" s="1">
        <v>-7.6102699999999995E-4</v>
      </c>
      <c r="M11" s="1">
        <v>3.9419919999999997E-2</v>
      </c>
      <c r="O11" s="1">
        <f t="shared" si="0"/>
        <v>-1.3606467000000001E-5</v>
      </c>
    </row>
    <row r="12" spans="1:15" x14ac:dyDescent="0.25">
      <c r="B12" s="1">
        <v>0</v>
      </c>
      <c r="C12" s="1">
        <v>0</v>
      </c>
      <c r="D12" s="1">
        <v>8.0000000000000002E-3</v>
      </c>
      <c r="E12" s="1">
        <v>-3.8706560000000001E-2</v>
      </c>
      <c r="F12" s="1">
        <v>-1.1780290000000001E-5</v>
      </c>
      <c r="G12" s="1">
        <v>-1.3355299999999999E-6</v>
      </c>
      <c r="H12" s="1">
        <v>1.195479E-2</v>
      </c>
      <c r="I12" s="1">
        <v>1.3535509999999999E-3</v>
      </c>
      <c r="J12" s="1">
        <v>0</v>
      </c>
      <c r="K12" s="1">
        <v>5.163686E-2</v>
      </c>
      <c r="L12" s="1">
        <v>-7.644177E-4</v>
      </c>
      <c r="M12" s="1">
        <v>3.9893900000000003E-2</v>
      </c>
      <c r="O12" s="1">
        <f t="shared" si="0"/>
        <v>-1.311582E-5</v>
      </c>
    </row>
    <row r="13" spans="1:15" x14ac:dyDescent="0.25">
      <c r="B13" s="1">
        <v>0</v>
      </c>
      <c r="C13" s="1">
        <v>0</v>
      </c>
      <c r="D13" s="1">
        <v>8.9999999999999993E-3</v>
      </c>
      <c r="E13" s="1">
        <v>-3.913113E-2</v>
      </c>
      <c r="F13" s="1">
        <v>-1.143643E-5</v>
      </c>
      <c r="G13" s="1">
        <v>-1.2965500000000001E-6</v>
      </c>
      <c r="H13" s="1">
        <v>1.2088359999999999E-2</v>
      </c>
      <c r="I13" s="1">
        <v>1.368677E-3</v>
      </c>
      <c r="J13" s="1">
        <v>0</v>
      </c>
      <c r="K13" s="1">
        <v>4.6611930000000003E-2</v>
      </c>
      <c r="L13" s="1">
        <v>-7.6659720000000001E-4</v>
      </c>
      <c r="M13" s="1">
        <v>4.0340790000000001E-2</v>
      </c>
      <c r="O13" s="1">
        <f t="shared" si="0"/>
        <v>-1.273298E-5</v>
      </c>
    </row>
    <row r="14" spans="1:15" x14ac:dyDescent="0.25">
      <c r="B14" s="1">
        <v>0</v>
      </c>
      <c r="C14" s="1">
        <v>0</v>
      </c>
      <c r="D14" s="1">
        <v>0.01</v>
      </c>
      <c r="E14" s="1">
        <v>-3.9535389999999997E-2</v>
      </c>
      <c r="F14" s="1">
        <v>-1.1183720000000001E-5</v>
      </c>
      <c r="G14" s="1">
        <v>-1.267903E-6</v>
      </c>
      <c r="H14" s="1">
        <v>1.2214819999999999E-2</v>
      </c>
      <c r="I14" s="1">
        <v>1.382999E-3</v>
      </c>
      <c r="J14" s="1">
        <v>0</v>
      </c>
      <c r="K14" s="1">
        <v>4.2593659999999998E-2</v>
      </c>
      <c r="L14" s="1">
        <v>-7.6786650000000003E-4</v>
      </c>
      <c r="M14" s="1">
        <v>4.0763779999999999E-2</v>
      </c>
      <c r="O14" s="1">
        <f t="shared" si="0"/>
        <v>-1.2451623000000001E-5</v>
      </c>
    </row>
    <row r="15" spans="1:15" x14ac:dyDescent="0.25">
      <c r="B15" s="1">
        <v>0</v>
      </c>
      <c r="C15" s="1">
        <v>0</v>
      </c>
      <c r="D15" s="1">
        <v>1.0999999999999999E-2</v>
      </c>
      <c r="E15" s="1">
        <v>-3.9922409999999998E-2</v>
      </c>
      <c r="F15" s="1">
        <v>-1.1014470000000001E-5</v>
      </c>
      <c r="G15" s="1">
        <v>-1.2487190000000001E-6</v>
      </c>
      <c r="H15" s="1">
        <v>1.233516E-2</v>
      </c>
      <c r="I15" s="1">
        <v>1.3966289999999999E-3</v>
      </c>
      <c r="J15" s="1">
        <v>0</v>
      </c>
      <c r="K15" s="1">
        <v>3.9361739999999999E-2</v>
      </c>
      <c r="L15" s="1">
        <v>-7.6842939999999997E-4</v>
      </c>
      <c r="M15" s="1">
        <v>4.1166179999999997E-2</v>
      </c>
      <c r="O15" s="1">
        <f t="shared" si="0"/>
        <v>-1.2263189000000001E-5</v>
      </c>
    </row>
    <row r="16" spans="1:15" x14ac:dyDescent="0.25">
      <c r="B16" s="1">
        <v>0</v>
      </c>
      <c r="C16" s="1">
        <v>0</v>
      </c>
      <c r="D16" s="1">
        <v>1.2E-2</v>
      </c>
      <c r="E16" s="1">
        <v>-4.0295339999999999E-2</v>
      </c>
      <c r="F16" s="1">
        <v>-1.092009E-5</v>
      </c>
      <c r="G16" s="1">
        <v>-1.238022E-6</v>
      </c>
      <c r="H16" s="1">
        <v>1.245038E-2</v>
      </c>
      <c r="I16" s="1">
        <v>1.409677E-3</v>
      </c>
      <c r="J16" s="1">
        <v>0</v>
      </c>
      <c r="K16" s="1">
        <v>3.6752130000000001E-2</v>
      </c>
      <c r="L16" s="1">
        <v>-7.6842770000000004E-4</v>
      </c>
      <c r="M16" s="1">
        <v>4.1551280000000003E-2</v>
      </c>
      <c r="O16" s="1">
        <f t="shared" si="0"/>
        <v>-1.2158112000000001E-5</v>
      </c>
    </row>
    <row r="17" spans="2:15" x14ac:dyDescent="0.25">
      <c r="B17" s="1">
        <v>0</v>
      </c>
      <c r="C17" s="1">
        <v>0</v>
      </c>
      <c r="D17" s="1">
        <v>1.2999999999999999E-2</v>
      </c>
      <c r="E17" s="1">
        <v>-4.0657169999999999E-2</v>
      </c>
      <c r="F17" s="1">
        <v>-1.0892010000000001E-5</v>
      </c>
      <c r="G17" s="1">
        <v>-1.2348410000000001E-6</v>
      </c>
      <c r="H17" s="1">
        <v>1.256141E-2</v>
      </c>
      <c r="I17" s="1">
        <v>1.4222519999999999E-3</v>
      </c>
      <c r="J17" s="1">
        <v>0</v>
      </c>
      <c r="K17" s="1">
        <v>3.4640410000000003E-2</v>
      </c>
      <c r="L17" s="1">
        <v>-7.679621E-4</v>
      </c>
      <c r="M17" s="1">
        <v>4.1922250000000001E-2</v>
      </c>
      <c r="O17" s="1">
        <f t="shared" si="0"/>
        <v>-1.2126851E-5</v>
      </c>
    </row>
    <row r="18" spans="2:15" x14ac:dyDescent="0.25">
      <c r="B18" s="1">
        <v>0</v>
      </c>
      <c r="C18" s="1">
        <v>0</v>
      </c>
      <c r="D18" s="1">
        <v>1.4E-2</v>
      </c>
      <c r="E18" s="1">
        <v>-4.101055E-2</v>
      </c>
      <c r="F18" s="1">
        <v>-1.092232E-5</v>
      </c>
      <c r="G18" s="1">
        <v>-1.238281E-6</v>
      </c>
      <c r="H18" s="1">
        <v>1.2669110000000001E-2</v>
      </c>
      <c r="I18" s="1">
        <v>1.434451E-3</v>
      </c>
      <c r="J18" s="1">
        <v>0</v>
      </c>
      <c r="K18" s="1">
        <v>3.29307E-2</v>
      </c>
      <c r="L18" s="1">
        <v>-7.6710549999999998E-4</v>
      </c>
      <c r="M18" s="1">
        <v>4.2281979999999997E-2</v>
      </c>
      <c r="O18" s="1">
        <f t="shared" si="0"/>
        <v>-1.2160600999999999E-5</v>
      </c>
    </row>
    <row r="19" spans="2:15" x14ac:dyDescent="0.25">
      <c r="B19" s="1">
        <v>0</v>
      </c>
      <c r="C19" s="1">
        <v>0</v>
      </c>
      <c r="D19" s="1">
        <v>1.4999999999999999E-2</v>
      </c>
      <c r="E19" s="1">
        <v>-4.1357779999999997E-2</v>
      </c>
      <c r="F19" s="1">
        <v>-1.100415E-5</v>
      </c>
      <c r="G19" s="1">
        <v>-1.2475609999999999E-6</v>
      </c>
      <c r="H19" s="1">
        <v>1.2774270000000001E-2</v>
      </c>
      <c r="I19" s="1">
        <v>1.446361E-3</v>
      </c>
      <c r="J19" s="1">
        <v>0</v>
      </c>
      <c r="K19" s="1">
        <v>3.1548060000000003E-2</v>
      </c>
      <c r="L19" s="1">
        <v>-7.659117E-4</v>
      </c>
      <c r="M19" s="1">
        <v>4.2633039999999997E-2</v>
      </c>
      <c r="O19" s="1">
        <f t="shared" si="0"/>
        <v>-1.2251711E-5</v>
      </c>
    </row>
    <row r="20" spans="2:15" x14ac:dyDescent="0.25">
      <c r="B20" s="1">
        <v>0</v>
      </c>
      <c r="C20" s="1">
        <v>0</v>
      </c>
      <c r="D20" s="1">
        <v>1.6E-2</v>
      </c>
      <c r="E20" s="1">
        <v>-4.1700790000000001E-2</v>
      </c>
      <c r="F20" s="1">
        <v>-1.1131700000000001E-5</v>
      </c>
      <c r="G20" s="1">
        <v>-1.262025E-6</v>
      </c>
      <c r="H20" s="1">
        <v>1.287753E-2</v>
      </c>
      <c r="I20" s="1">
        <v>1.4580559999999999E-3</v>
      </c>
      <c r="J20" s="1">
        <v>0</v>
      </c>
      <c r="K20" s="1">
        <v>3.0433249999999998E-2</v>
      </c>
      <c r="L20" s="1">
        <v>-7.6442100000000005E-4</v>
      </c>
      <c r="M20" s="1">
        <v>4.2977660000000001E-2</v>
      </c>
      <c r="O20" s="1">
        <f t="shared" si="0"/>
        <v>-1.2393725000000001E-5</v>
      </c>
    </row>
    <row r="21" spans="2:15" x14ac:dyDescent="0.25">
      <c r="B21" s="1">
        <v>0</v>
      </c>
      <c r="C21" s="1">
        <v>0</v>
      </c>
      <c r="D21" s="1">
        <v>1.7000000000000001E-2</v>
      </c>
      <c r="E21" s="1">
        <v>-4.2041179999999997E-2</v>
      </c>
      <c r="F21" s="1">
        <v>-1.1300250000000001E-5</v>
      </c>
      <c r="G21" s="1">
        <v>-1.2811380000000001E-6</v>
      </c>
      <c r="H21" s="1">
        <v>1.297946E-2</v>
      </c>
      <c r="I21" s="1">
        <v>1.4696010000000001E-3</v>
      </c>
      <c r="J21" s="1">
        <v>0</v>
      </c>
      <c r="K21" s="1">
        <v>2.953896E-2</v>
      </c>
      <c r="L21" s="1">
        <v>-7.6266389999999999E-4</v>
      </c>
      <c r="M21" s="1">
        <v>4.3317729999999999E-2</v>
      </c>
      <c r="O21" s="1">
        <f t="shared" si="0"/>
        <v>-1.2581388000000002E-5</v>
      </c>
    </row>
    <row r="22" spans="2:15" x14ac:dyDescent="0.25">
      <c r="B22" s="1">
        <v>0</v>
      </c>
      <c r="C22" s="1">
        <v>0</v>
      </c>
      <c r="D22" s="1">
        <v>1.7999999999999999E-2</v>
      </c>
      <c r="E22" s="1">
        <v>-4.2380319999999999E-2</v>
      </c>
      <c r="F22" s="1">
        <v>-1.150598E-5</v>
      </c>
      <c r="G22" s="1">
        <v>-1.3044650000000001E-6</v>
      </c>
      <c r="H22" s="1">
        <v>1.308053E-2</v>
      </c>
      <c r="I22" s="1">
        <v>1.4810489999999999E-3</v>
      </c>
      <c r="J22" s="1">
        <v>0</v>
      </c>
      <c r="K22" s="1">
        <v>2.8827060000000002E-2</v>
      </c>
      <c r="L22" s="1">
        <v>-7.6066380000000002E-4</v>
      </c>
      <c r="M22" s="1">
        <v>4.3654829999999999E-2</v>
      </c>
      <c r="O22" s="1">
        <f t="shared" si="0"/>
        <v>-1.2810445E-5</v>
      </c>
    </row>
    <row r="23" spans="2:15" x14ac:dyDescent="0.25">
      <c r="B23" s="1">
        <v>0</v>
      </c>
      <c r="C23" s="1">
        <v>0</v>
      </c>
      <c r="D23" s="1">
        <v>1.9E-2</v>
      </c>
      <c r="E23" s="1">
        <v>-4.2719390000000003E-2</v>
      </c>
      <c r="F23" s="1">
        <v>-1.174573E-5</v>
      </c>
      <c r="G23" s="1">
        <v>-1.33165E-6</v>
      </c>
      <c r="H23" s="1">
        <v>1.3181119999999999E-2</v>
      </c>
      <c r="I23" s="1">
        <v>1.492443E-3</v>
      </c>
      <c r="J23" s="1">
        <v>0</v>
      </c>
      <c r="K23" s="1">
        <v>2.8266599999999999E-2</v>
      </c>
      <c r="L23" s="1">
        <v>-7.5843880000000001E-4</v>
      </c>
      <c r="M23" s="1">
        <v>4.399024E-2</v>
      </c>
      <c r="O23" s="1">
        <f t="shared" si="0"/>
        <v>-1.307738E-5</v>
      </c>
    </row>
    <row r="24" spans="2:15" x14ac:dyDescent="0.25">
      <c r="B24" s="1">
        <v>0</v>
      </c>
      <c r="C24" s="1">
        <v>0</v>
      </c>
      <c r="D24" s="1">
        <v>0.02</v>
      </c>
      <c r="E24" s="1">
        <v>-4.3058619999999999E-2</v>
      </c>
      <c r="F24" s="1">
        <v>-1.2019359999999999E-5</v>
      </c>
      <c r="G24" s="1">
        <v>-1.3626760000000001E-6</v>
      </c>
      <c r="H24" s="1">
        <v>1.328146E-2</v>
      </c>
      <c r="I24" s="1">
        <v>1.5038079999999999E-3</v>
      </c>
      <c r="J24" s="1">
        <v>0</v>
      </c>
      <c r="K24" s="1">
        <v>2.783219E-2</v>
      </c>
      <c r="L24" s="1">
        <v>-7.560046E-4</v>
      </c>
      <c r="M24" s="1">
        <v>4.4324750000000003E-2</v>
      </c>
      <c r="O24" s="1">
        <f t="shared" si="0"/>
        <v>-1.3382036E-5</v>
      </c>
    </row>
    <row r="25" spans="2:15" x14ac:dyDescent="0.25">
      <c r="B25" s="1">
        <v>0</v>
      </c>
      <c r="C25" s="1">
        <v>0</v>
      </c>
      <c r="D25" s="1">
        <v>2.1000000000000001E-2</v>
      </c>
      <c r="E25" s="1">
        <v>-4.3398510000000001E-2</v>
      </c>
      <c r="F25" s="1">
        <v>-1.232575E-5</v>
      </c>
      <c r="G25" s="1">
        <v>-1.397417E-6</v>
      </c>
      <c r="H25" s="1">
        <v>1.338173E-2</v>
      </c>
      <c r="I25" s="1">
        <v>1.515165E-3</v>
      </c>
      <c r="J25" s="1">
        <v>0</v>
      </c>
      <c r="K25" s="1">
        <v>2.750298E-2</v>
      </c>
      <c r="L25" s="1">
        <v>-7.5337419999999997E-4</v>
      </c>
      <c r="M25" s="1">
        <v>4.4658919999999998E-2</v>
      </c>
      <c r="O25" s="1">
        <f t="shared" si="0"/>
        <v>-1.3723166999999999E-5</v>
      </c>
    </row>
    <row r="26" spans="2:15" x14ac:dyDescent="0.25">
      <c r="B26" s="1">
        <v>0</v>
      </c>
      <c r="C26" s="1">
        <v>0</v>
      </c>
      <c r="D26" s="1">
        <v>2.1999999999999999E-2</v>
      </c>
      <c r="E26" s="1">
        <v>-4.3739319999999998E-2</v>
      </c>
      <c r="F26" s="1">
        <v>-1.266376E-5</v>
      </c>
      <c r="G26" s="1">
        <v>-1.435743E-6</v>
      </c>
      <c r="H26" s="1">
        <v>1.3481989999999999E-2</v>
      </c>
      <c r="I26" s="1">
        <v>1.526522E-3</v>
      </c>
      <c r="J26" s="1">
        <v>0</v>
      </c>
      <c r="K26" s="1">
        <v>2.726162E-2</v>
      </c>
      <c r="L26" s="1">
        <v>-7.5056020000000001E-4</v>
      </c>
      <c r="M26" s="1">
        <v>4.4992999999999998E-2</v>
      </c>
      <c r="O26" s="1">
        <f t="shared" si="0"/>
        <v>-1.4099502999999999E-5</v>
      </c>
    </row>
    <row r="27" spans="2:15" x14ac:dyDescent="0.25">
      <c r="B27" s="1">
        <v>0</v>
      </c>
      <c r="C27" s="1">
        <v>0</v>
      </c>
      <c r="D27" s="1">
        <v>2.3E-2</v>
      </c>
      <c r="E27" s="1">
        <v>-4.4080500000000002E-2</v>
      </c>
      <c r="F27" s="1">
        <v>-1.303324E-5</v>
      </c>
      <c r="G27" s="1">
        <v>-1.477636E-6</v>
      </c>
      <c r="H27" s="1">
        <v>1.3582149999999999E-2</v>
      </c>
      <c r="I27" s="1">
        <v>1.5378670000000001E-3</v>
      </c>
      <c r="J27" s="1">
        <v>0</v>
      </c>
      <c r="K27" s="1">
        <v>2.7093539999999999E-2</v>
      </c>
      <c r="L27" s="1">
        <v>-7.4757800000000004E-4</v>
      </c>
      <c r="M27" s="1">
        <v>4.532663E-2</v>
      </c>
      <c r="O27" s="1">
        <f t="shared" si="0"/>
        <v>-1.4510876E-5</v>
      </c>
    </row>
    <row r="28" spans="2:15" x14ac:dyDescent="0.25">
      <c r="B28" s="1">
        <v>0</v>
      </c>
      <c r="C28" s="1">
        <v>0</v>
      </c>
      <c r="D28" s="1">
        <v>2.4E-2</v>
      </c>
      <c r="E28" s="1">
        <v>-4.442053E-2</v>
      </c>
      <c r="F28" s="1">
        <v>-1.3434369999999999E-5</v>
      </c>
      <c r="G28" s="1">
        <v>-1.5231179999999999E-6</v>
      </c>
      <c r="H28" s="1">
        <v>1.3681789999999999E-2</v>
      </c>
      <c r="I28" s="1">
        <v>1.5491529999999999E-3</v>
      </c>
      <c r="J28" s="1">
        <v>0</v>
      </c>
      <c r="K28" s="1">
        <v>2.6986179999999999E-2</v>
      </c>
      <c r="L28" s="1">
        <v>-7.4445030000000001E-4</v>
      </c>
      <c r="M28" s="1">
        <v>4.5658490000000003E-2</v>
      </c>
      <c r="O28" s="1">
        <f t="shared" si="0"/>
        <v>-1.4957487999999999E-5</v>
      </c>
    </row>
    <row r="29" spans="2:15" x14ac:dyDescent="0.25">
      <c r="B29" s="1">
        <v>0</v>
      </c>
      <c r="C29" s="1">
        <v>0</v>
      </c>
      <c r="D29" s="1">
        <v>2.5000000000000001E-2</v>
      </c>
      <c r="E29" s="1">
        <v>-4.4756270000000001E-2</v>
      </c>
      <c r="F29" s="1">
        <v>-1.386659E-5</v>
      </c>
      <c r="G29" s="1">
        <v>-1.572125E-6</v>
      </c>
      <c r="H29" s="1">
        <v>1.378008E-2</v>
      </c>
      <c r="I29" s="1">
        <v>1.560287E-3</v>
      </c>
      <c r="J29" s="1">
        <v>0</v>
      </c>
      <c r="K29" s="1">
        <v>2.6928379999999998E-2</v>
      </c>
      <c r="L29" s="1">
        <v>-7.4121509999999996E-4</v>
      </c>
      <c r="M29" s="1">
        <v>4.5985760000000001E-2</v>
      </c>
      <c r="O29" s="1">
        <f t="shared" si="0"/>
        <v>-1.5438714999999999E-5</v>
      </c>
    </row>
    <row r="30" spans="2:15" x14ac:dyDescent="0.25">
      <c r="B30" s="1">
        <v>0</v>
      </c>
      <c r="C30" s="1">
        <v>0</v>
      </c>
      <c r="D30" s="1">
        <v>2.5999999999999999E-2</v>
      </c>
      <c r="E30" s="1">
        <v>-4.5082070000000002E-2</v>
      </c>
      <c r="F30" s="1">
        <v>-1.4325919999999999E-5</v>
      </c>
      <c r="G30" s="1">
        <v>-1.624206E-6</v>
      </c>
      <c r="H30" s="1">
        <v>1.3875429999999999E-2</v>
      </c>
      <c r="I30" s="1">
        <v>1.571088E-3</v>
      </c>
      <c r="J30" s="1">
        <v>0</v>
      </c>
      <c r="K30" s="1">
        <v>2.6909639999999999E-2</v>
      </c>
      <c r="L30" s="1">
        <v>-7.3793860000000004E-4</v>
      </c>
      <c r="M30" s="1">
        <v>4.6303169999999998E-2</v>
      </c>
      <c r="O30" s="1">
        <f t="shared" si="0"/>
        <v>-1.5950125999999999E-5</v>
      </c>
    </row>
    <row r="31" spans="2:15" x14ac:dyDescent="0.25">
      <c r="B31" s="1">
        <v>0</v>
      </c>
      <c r="C31" s="1">
        <v>0</v>
      </c>
      <c r="D31" s="1">
        <v>2.7E-2</v>
      </c>
      <c r="E31" s="1">
        <v>-4.5388039999999998E-2</v>
      </c>
      <c r="F31" s="1">
        <v>-1.479934E-5</v>
      </c>
      <c r="G31" s="1">
        <v>-1.6778850000000001E-6</v>
      </c>
      <c r="H31" s="1">
        <v>1.396503E-2</v>
      </c>
      <c r="I31" s="1">
        <v>1.5812370000000001E-3</v>
      </c>
      <c r="J31" s="1">
        <v>0</v>
      </c>
      <c r="K31" s="1">
        <v>2.6919309999999998E-2</v>
      </c>
      <c r="L31" s="1">
        <v>-7.3473889999999995E-4</v>
      </c>
      <c r="M31" s="1">
        <v>4.6601320000000002E-2</v>
      </c>
      <c r="O31" s="1">
        <f t="shared" si="0"/>
        <v>-1.6477225E-5</v>
      </c>
    </row>
    <row r="32" spans="2:15" x14ac:dyDescent="0.25">
      <c r="B32" s="1">
        <v>0</v>
      </c>
      <c r="C32" s="1">
        <v>0</v>
      </c>
      <c r="D32" s="1">
        <v>2.8000000000000001E-2</v>
      </c>
      <c r="E32" s="1">
        <v>-4.5656969999999998E-2</v>
      </c>
      <c r="F32" s="1">
        <v>-1.5254209999999999E-5</v>
      </c>
      <c r="G32" s="1">
        <v>-1.7294600000000001E-6</v>
      </c>
      <c r="H32" s="1">
        <v>1.404386E-2</v>
      </c>
      <c r="I32" s="1">
        <v>1.5901660000000001E-3</v>
      </c>
      <c r="J32" s="1">
        <v>0</v>
      </c>
      <c r="K32" s="1">
        <v>2.6945529999999999E-2</v>
      </c>
      <c r="L32" s="1">
        <v>-7.3182810000000005E-4</v>
      </c>
      <c r="M32" s="1">
        <v>4.686357E-2</v>
      </c>
      <c r="O32" s="1">
        <f t="shared" si="0"/>
        <v>-1.6983669999999999E-5</v>
      </c>
    </row>
    <row r="33" spans="2:15" x14ac:dyDescent="0.25">
      <c r="B33" s="1">
        <v>0</v>
      </c>
      <c r="C33" s="1">
        <v>0</v>
      </c>
      <c r="D33" s="1">
        <v>2.9000000000000001E-2</v>
      </c>
      <c r="E33" s="1">
        <v>-4.5858540000000003E-2</v>
      </c>
      <c r="F33" s="1">
        <v>-1.562098E-5</v>
      </c>
      <c r="G33" s="1">
        <v>-1.7710470000000001E-6</v>
      </c>
      <c r="H33" s="1">
        <v>1.4102979999999999E-2</v>
      </c>
      <c r="I33" s="1">
        <v>1.596863E-3</v>
      </c>
      <c r="J33" s="1">
        <v>0</v>
      </c>
      <c r="K33" s="1">
        <v>2.697399E-2</v>
      </c>
      <c r="L33" s="1">
        <v>-7.2958739999999999E-4</v>
      </c>
      <c r="M33" s="1">
        <v>4.7060209999999998E-2</v>
      </c>
      <c r="O33" s="1">
        <f t="shared" si="0"/>
        <v>-1.7392026999999999E-5</v>
      </c>
    </row>
    <row r="34" spans="2:15" x14ac:dyDescent="0.25">
      <c r="B34" s="1">
        <v>0</v>
      </c>
      <c r="C34" s="1">
        <v>0</v>
      </c>
      <c r="D34" s="1">
        <v>0.03</v>
      </c>
      <c r="E34" s="1">
        <v>-4.5937690000000003E-2</v>
      </c>
      <c r="F34" s="1">
        <v>-1.5770840000000001E-5</v>
      </c>
      <c r="G34" s="1">
        <v>-1.7880380000000001E-6</v>
      </c>
      <c r="H34" s="1">
        <v>1.412618E-2</v>
      </c>
      <c r="I34" s="1">
        <v>1.599491E-3</v>
      </c>
      <c r="J34" s="1">
        <v>0</v>
      </c>
      <c r="K34" s="1">
        <v>2.698681E-2</v>
      </c>
      <c r="L34" s="1">
        <v>-7.2869510000000005E-4</v>
      </c>
      <c r="M34" s="1">
        <v>4.7137360000000003E-2</v>
      </c>
      <c r="O34" s="1">
        <f t="shared" si="0"/>
        <v>-1.7558878000000002E-5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3" sqref="D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</row>
    <row r="2" spans="1:15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 t="s">
        <v>16</v>
      </c>
      <c r="B3" t="s">
        <v>17</v>
      </c>
      <c r="C3" t="s">
        <v>1</v>
      </c>
      <c r="D3" t="s">
        <v>24</v>
      </c>
      <c r="E3" t="s">
        <v>19</v>
      </c>
      <c r="F3" t="s">
        <v>1</v>
      </c>
      <c r="G3">
        <v>31</v>
      </c>
      <c r="H3" t="s">
        <v>20</v>
      </c>
      <c r="I3" t="s">
        <v>1</v>
      </c>
      <c r="J3">
        <v>1</v>
      </c>
      <c r="K3" t="s">
        <v>21</v>
      </c>
      <c r="L3" t="s">
        <v>1</v>
      </c>
      <c r="M3">
        <v>1</v>
      </c>
      <c r="N3" t="s">
        <v>22</v>
      </c>
      <c r="O3" t="s">
        <v>28</v>
      </c>
    </row>
    <row r="4" spans="1:15" x14ac:dyDescent="0.25">
      <c r="B4" s="1">
        <v>0</v>
      </c>
      <c r="C4" s="1">
        <v>0</v>
      </c>
      <c r="D4" s="1">
        <v>0</v>
      </c>
      <c r="E4" s="1">
        <v>-9.7298759999999998E-2</v>
      </c>
      <c r="F4" s="1">
        <v>-7.067582E-4</v>
      </c>
      <c r="G4" s="1">
        <v>-8.0123839999999996E-5</v>
      </c>
      <c r="H4" s="1">
        <v>1.6212150000000002E-2</v>
      </c>
      <c r="I4" s="1">
        <v>1.837244E-3</v>
      </c>
      <c r="J4" s="1">
        <v>0</v>
      </c>
      <c r="K4" s="1">
        <v>0.23853269999999999</v>
      </c>
      <c r="L4" s="1">
        <v>-1.189263E-4</v>
      </c>
      <c r="M4" s="1">
        <v>5.1981720000000002E-2</v>
      </c>
      <c r="O4" s="1">
        <f>SUM(F4:G4)</f>
        <v>-7.8688203999999998E-4</v>
      </c>
    </row>
    <row r="5" spans="1:15" x14ac:dyDescent="0.25">
      <c r="B5" s="1">
        <v>0</v>
      </c>
      <c r="C5" s="1">
        <v>0</v>
      </c>
      <c r="D5" s="1">
        <v>1E-3</v>
      </c>
      <c r="E5" s="1">
        <v>-8.1043539999999997E-2</v>
      </c>
      <c r="F5" s="1">
        <v>-1.0643130000000001E-3</v>
      </c>
      <c r="G5" s="1">
        <v>-1.2065970000000001E-4</v>
      </c>
      <c r="H5" s="1">
        <v>2.091175E-2</v>
      </c>
      <c r="I5" s="1">
        <v>2.367788E-3</v>
      </c>
      <c r="J5" s="1">
        <v>0</v>
      </c>
      <c r="K5" s="1">
        <v>0.18946789999999999</v>
      </c>
      <c r="L5" s="1">
        <v>3.0880219999999998E-5</v>
      </c>
      <c r="M5" s="1">
        <v>6.7137740000000001E-2</v>
      </c>
      <c r="O5" s="1">
        <f t="shared" ref="O5:O34" si="0">SUM(F5:G5)</f>
        <v>-1.1849727000000001E-3</v>
      </c>
    </row>
    <row r="6" spans="1:15" x14ac:dyDescent="0.25">
      <c r="B6" s="1">
        <v>0</v>
      </c>
      <c r="C6" s="1">
        <v>0</v>
      </c>
      <c r="D6" s="1">
        <v>2E-3</v>
      </c>
      <c r="E6" s="1">
        <v>-7.8296080000000004E-2</v>
      </c>
      <c r="F6" s="1">
        <v>-1.123328E-3</v>
      </c>
      <c r="G6" s="1">
        <v>-1.273507E-4</v>
      </c>
      <c r="H6" s="1">
        <v>2.2792779999999999E-2</v>
      </c>
      <c r="I6" s="1">
        <v>2.5807489999999998E-3</v>
      </c>
      <c r="J6" s="1">
        <v>0</v>
      </c>
      <c r="K6" s="1">
        <v>0.15471599999999999</v>
      </c>
      <c r="L6" s="1">
        <v>-1.153248E-5</v>
      </c>
      <c r="M6" s="1">
        <v>7.3496599999999995E-2</v>
      </c>
      <c r="O6" s="1">
        <f t="shared" si="0"/>
        <v>-1.2506787000000001E-3</v>
      </c>
    </row>
    <row r="7" spans="1:15" x14ac:dyDescent="0.25">
      <c r="B7" s="1">
        <v>0</v>
      </c>
      <c r="C7" s="1">
        <v>0</v>
      </c>
      <c r="D7" s="1">
        <v>3.0000000000000001E-3</v>
      </c>
      <c r="E7" s="1">
        <v>-7.8632060000000004E-2</v>
      </c>
      <c r="F7" s="1">
        <v>-1.1259779999999999E-3</v>
      </c>
      <c r="G7" s="1">
        <v>-1.276517E-4</v>
      </c>
      <c r="H7" s="1">
        <v>2.381902E-2</v>
      </c>
      <c r="I7" s="1">
        <v>2.6969540000000001E-3</v>
      </c>
      <c r="J7" s="1">
        <v>0</v>
      </c>
      <c r="K7" s="1">
        <v>0.13005349999999999</v>
      </c>
      <c r="L7" s="1">
        <v>-7.48763E-5</v>
      </c>
      <c r="M7" s="1">
        <v>7.6981880000000003E-2</v>
      </c>
      <c r="O7" s="1">
        <f t="shared" si="0"/>
        <v>-1.2536296999999998E-3</v>
      </c>
    </row>
    <row r="8" spans="1:15" x14ac:dyDescent="0.25">
      <c r="B8" s="1">
        <v>0</v>
      </c>
      <c r="C8" s="1">
        <v>0</v>
      </c>
      <c r="D8" s="1">
        <v>4.0000000000000001E-3</v>
      </c>
      <c r="E8" s="1">
        <v>-7.9888310000000004E-2</v>
      </c>
      <c r="F8" s="1">
        <v>-1.123207E-3</v>
      </c>
      <c r="G8" s="1">
        <v>-1.2733819999999999E-4</v>
      </c>
      <c r="H8" s="1">
        <v>2.4541199999999999E-2</v>
      </c>
      <c r="I8" s="1">
        <v>2.7787350000000001E-3</v>
      </c>
      <c r="J8" s="1">
        <v>0</v>
      </c>
      <c r="K8" s="1">
        <v>0.1122689</v>
      </c>
      <c r="L8" s="1">
        <v>-1.2256349999999999E-4</v>
      </c>
      <c r="M8" s="1">
        <v>7.9421439999999996E-2</v>
      </c>
      <c r="O8" s="1">
        <f t="shared" si="0"/>
        <v>-1.2505451999999999E-3</v>
      </c>
    </row>
    <row r="9" spans="1:15" x14ac:dyDescent="0.25">
      <c r="B9" s="1">
        <v>0</v>
      </c>
      <c r="C9" s="1">
        <v>0</v>
      </c>
      <c r="D9" s="1">
        <v>5.0000000000000001E-3</v>
      </c>
      <c r="E9" s="1">
        <v>-8.1455739999999999E-2</v>
      </c>
      <c r="F9" s="1">
        <v>-1.124576E-3</v>
      </c>
      <c r="G9" s="1">
        <v>-1.274941E-4</v>
      </c>
      <c r="H9" s="1">
        <v>2.5149640000000001E-2</v>
      </c>
      <c r="I9" s="1">
        <v>2.8476389999999999E-3</v>
      </c>
      <c r="J9" s="1">
        <v>0</v>
      </c>
      <c r="K9" s="1">
        <v>9.9233660000000001E-2</v>
      </c>
      <c r="L9" s="1">
        <v>-1.5123639999999999E-4</v>
      </c>
      <c r="M9" s="1">
        <v>8.1457749999999995E-2</v>
      </c>
      <c r="O9" s="1">
        <f t="shared" si="0"/>
        <v>-1.2520700999999999E-3</v>
      </c>
    </row>
    <row r="10" spans="1:15" x14ac:dyDescent="0.25">
      <c r="B10" s="1">
        <v>0</v>
      </c>
      <c r="C10" s="1">
        <v>0</v>
      </c>
      <c r="D10" s="1">
        <v>6.0000000000000001E-3</v>
      </c>
      <c r="E10" s="1">
        <v>-8.3135760000000003E-2</v>
      </c>
      <c r="F10" s="1">
        <v>-1.1318210000000001E-3</v>
      </c>
      <c r="G10" s="1">
        <v>-1.283162E-4</v>
      </c>
      <c r="H10" s="1">
        <v>2.5714029999999999E-2</v>
      </c>
      <c r="I10" s="1">
        <v>2.9115569999999999E-3</v>
      </c>
      <c r="J10" s="1">
        <v>0</v>
      </c>
      <c r="K10" s="1">
        <v>8.9558079999999998E-2</v>
      </c>
      <c r="L10" s="1">
        <v>-1.638124E-4</v>
      </c>
      <c r="M10" s="1">
        <v>8.3328890000000003E-2</v>
      </c>
      <c r="O10" s="1">
        <f t="shared" si="0"/>
        <v>-1.2601372E-3</v>
      </c>
    </row>
    <row r="11" spans="1:15" x14ac:dyDescent="0.25">
      <c r="B11" s="1">
        <v>0</v>
      </c>
      <c r="C11" s="1">
        <v>0</v>
      </c>
      <c r="D11" s="1">
        <v>7.0000000000000001E-3</v>
      </c>
      <c r="E11" s="1">
        <v>-8.4857760000000004E-2</v>
      </c>
      <c r="F11" s="1">
        <v>-1.1453679999999999E-3</v>
      </c>
      <c r="G11" s="1">
        <v>-1.2985270000000001E-4</v>
      </c>
      <c r="H11" s="1">
        <v>2.6261079999999999E-2</v>
      </c>
      <c r="I11" s="1">
        <v>2.973514E-3</v>
      </c>
      <c r="J11" s="1">
        <v>0</v>
      </c>
      <c r="K11" s="1">
        <v>8.2320320000000002E-2</v>
      </c>
      <c r="L11" s="1">
        <v>-1.634668E-4</v>
      </c>
      <c r="M11" s="1">
        <v>8.5126359999999998E-2</v>
      </c>
      <c r="O11" s="1">
        <f t="shared" si="0"/>
        <v>-1.2752206999999999E-3</v>
      </c>
    </row>
    <row r="12" spans="1:15" x14ac:dyDescent="0.25">
      <c r="B12" s="1">
        <v>0</v>
      </c>
      <c r="C12" s="1">
        <v>0</v>
      </c>
      <c r="D12" s="1">
        <v>8.0000000000000002E-3</v>
      </c>
      <c r="E12" s="1">
        <v>-8.659414E-2</v>
      </c>
      <c r="F12" s="1">
        <v>-1.1656310000000001E-3</v>
      </c>
      <c r="G12" s="1">
        <v>-1.3215070000000001E-4</v>
      </c>
      <c r="H12" s="1">
        <v>2.6801599999999998E-2</v>
      </c>
      <c r="I12" s="1">
        <v>3.034733E-3</v>
      </c>
      <c r="J12" s="1">
        <v>0</v>
      </c>
      <c r="K12" s="1">
        <v>7.6893379999999997E-2</v>
      </c>
      <c r="L12" s="1">
        <v>-1.5258359999999999E-4</v>
      </c>
      <c r="M12" s="1">
        <v>8.6886430000000001E-2</v>
      </c>
      <c r="O12" s="1">
        <f t="shared" si="0"/>
        <v>-1.2977817E-3</v>
      </c>
    </row>
    <row r="13" spans="1:15" x14ac:dyDescent="0.25">
      <c r="B13" s="1">
        <v>0</v>
      </c>
      <c r="C13" s="1">
        <v>0</v>
      </c>
      <c r="D13" s="1">
        <v>8.9999999999999993E-3</v>
      </c>
      <c r="E13" s="1">
        <v>-8.8333320000000007E-2</v>
      </c>
      <c r="F13" s="1">
        <v>-1.1931509999999999E-3</v>
      </c>
      <c r="G13" s="1">
        <v>-1.3527149999999999E-4</v>
      </c>
      <c r="H13" s="1">
        <v>2.7340329999999999E-2</v>
      </c>
      <c r="I13" s="1">
        <v>3.0957519999999998E-3</v>
      </c>
      <c r="J13" s="1">
        <v>0</v>
      </c>
      <c r="K13" s="1">
        <v>7.2839409999999993E-2</v>
      </c>
      <c r="L13" s="1">
        <v>-1.327721E-4</v>
      </c>
      <c r="M13" s="1">
        <v>8.86242E-2</v>
      </c>
      <c r="O13" s="1">
        <f t="shared" si="0"/>
        <v>-1.3284224999999998E-3</v>
      </c>
    </row>
    <row r="14" spans="1:15" x14ac:dyDescent="0.25">
      <c r="B14" s="1">
        <v>0</v>
      </c>
      <c r="C14" s="1">
        <v>0</v>
      </c>
      <c r="D14" s="1">
        <v>0.01</v>
      </c>
      <c r="E14" s="1">
        <v>-9.0071289999999998E-2</v>
      </c>
      <c r="F14" s="1">
        <v>-1.228486E-3</v>
      </c>
      <c r="G14" s="1">
        <v>-1.392784E-4</v>
      </c>
      <c r="H14" s="1">
        <v>2.7879839999999999E-2</v>
      </c>
      <c r="I14" s="1">
        <v>3.1568590000000001E-3</v>
      </c>
      <c r="J14" s="1">
        <v>0</v>
      </c>
      <c r="K14" s="1">
        <v>6.9845169999999998E-2</v>
      </c>
      <c r="L14" s="1">
        <v>-1.050439E-4</v>
      </c>
      <c r="M14" s="1">
        <v>9.0347079999999996E-2</v>
      </c>
      <c r="O14" s="1">
        <f t="shared" si="0"/>
        <v>-1.3677644E-3</v>
      </c>
    </row>
    <row r="15" spans="1:15" x14ac:dyDescent="0.25">
      <c r="B15" s="1">
        <v>0</v>
      </c>
      <c r="C15" s="1">
        <v>0</v>
      </c>
      <c r="D15" s="1">
        <v>1.0999999999999999E-2</v>
      </c>
      <c r="E15" s="1">
        <v>-9.1808639999999997E-2</v>
      </c>
      <c r="F15" s="1">
        <v>-1.272139E-3</v>
      </c>
      <c r="G15" s="1">
        <v>-1.4422830000000001E-4</v>
      </c>
      <c r="H15" s="1">
        <v>2.8421979999999999E-2</v>
      </c>
      <c r="I15" s="1">
        <v>3.2182669999999999E-3</v>
      </c>
      <c r="J15" s="1">
        <v>0</v>
      </c>
      <c r="K15" s="1">
        <v>6.7681710000000006E-2</v>
      </c>
      <c r="L15" s="1">
        <v>-6.9967479999999996E-5</v>
      </c>
      <c r="M15" s="1">
        <v>9.2060210000000003E-2</v>
      </c>
      <c r="O15" s="1">
        <f t="shared" si="0"/>
        <v>-1.4163673000000001E-3</v>
      </c>
    </row>
    <row r="16" spans="1:15" x14ac:dyDescent="0.25">
      <c r="B16" s="1">
        <v>0</v>
      </c>
      <c r="C16" s="1">
        <v>0</v>
      </c>
      <c r="D16" s="1">
        <v>1.2E-2</v>
      </c>
      <c r="E16" s="1">
        <v>-9.3548969999999995E-2</v>
      </c>
      <c r="F16" s="1">
        <v>-1.3245469999999999E-3</v>
      </c>
      <c r="G16" s="1">
        <v>-1.5017089999999999E-4</v>
      </c>
      <c r="H16" s="1">
        <v>2.8968540000000001E-2</v>
      </c>
      <c r="I16" s="1">
        <v>3.2801779999999999E-3</v>
      </c>
      <c r="J16" s="1">
        <v>0</v>
      </c>
      <c r="K16" s="1">
        <v>6.6178730000000005E-2</v>
      </c>
      <c r="L16" s="1">
        <v>-2.7776429999999999E-5</v>
      </c>
      <c r="M16" s="1">
        <v>9.3768580000000004E-2</v>
      </c>
      <c r="O16" s="1">
        <f t="shared" si="0"/>
        <v>-1.4747178999999998E-3</v>
      </c>
    </row>
    <row r="17" spans="2:15" x14ac:dyDescent="0.25">
      <c r="B17" s="1">
        <v>0</v>
      </c>
      <c r="C17" s="1">
        <v>0</v>
      </c>
      <c r="D17" s="1">
        <v>1.2999999999999999E-2</v>
      </c>
      <c r="E17" s="1">
        <v>-9.5297690000000004E-2</v>
      </c>
      <c r="F17" s="1">
        <v>-1.3861209999999999E-3</v>
      </c>
      <c r="G17" s="1">
        <v>-1.5715290000000001E-4</v>
      </c>
      <c r="H17" s="1">
        <v>2.9521430000000001E-2</v>
      </c>
      <c r="I17" s="1">
        <v>3.3428080000000001E-3</v>
      </c>
      <c r="J17" s="1">
        <v>0</v>
      </c>
      <c r="K17" s="1">
        <v>6.5207580000000001E-2</v>
      </c>
      <c r="L17" s="1">
        <v>2.1557889999999998E-5</v>
      </c>
      <c r="M17" s="1">
        <v>9.5477590000000001E-2</v>
      </c>
      <c r="O17" s="1">
        <f t="shared" si="0"/>
        <v>-1.5432738999999998E-3</v>
      </c>
    </row>
    <row r="18" spans="2:15" x14ac:dyDescent="0.25">
      <c r="B18" s="1">
        <v>0</v>
      </c>
      <c r="C18" s="1">
        <v>0</v>
      </c>
      <c r="D18" s="1">
        <v>1.4E-2</v>
      </c>
      <c r="E18" s="1">
        <v>-9.7061129999999995E-2</v>
      </c>
      <c r="F18" s="1">
        <v>-1.457294E-3</v>
      </c>
      <c r="G18" s="1">
        <v>-1.6522330000000001E-4</v>
      </c>
      <c r="H18" s="1">
        <v>3.0082669999999999E-2</v>
      </c>
      <c r="I18" s="1">
        <v>3.4063850000000001E-3</v>
      </c>
      <c r="J18" s="1">
        <v>0</v>
      </c>
      <c r="K18" s="1">
        <v>6.4669980000000002E-2</v>
      </c>
      <c r="L18" s="1">
        <v>7.8280040000000005E-5</v>
      </c>
      <c r="M18" s="1">
        <v>9.719303E-2</v>
      </c>
      <c r="O18" s="1">
        <f t="shared" si="0"/>
        <v>-1.6225173000000001E-3</v>
      </c>
    </row>
    <row r="19" spans="2:15" x14ac:dyDescent="0.25">
      <c r="B19" s="1">
        <v>0</v>
      </c>
      <c r="C19" s="1">
        <v>0</v>
      </c>
      <c r="D19" s="1">
        <v>1.4999999999999999E-2</v>
      </c>
      <c r="E19" s="1">
        <v>-9.8845849999999999E-2</v>
      </c>
      <c r="F19" s="1">
        <v>-1.538567E-3</v>
      </c>
      <c r="G19" s="1">
        <v>-1.7443889999999999E-4</v>
      </c>
      <c r="H19" s="1">
        <v>3.065437E-2</v>
      </c>
      <c r="I19" s="1">
        <v>3.4711479999999999E-3</v>
      </c>
      <c r="J19" s="1">
        <v>0</v>
      </c>
      <c r="K19" s="1">
        <v>6.4490080000000005E-2</v>
      </c>
      <c r="L19" s="1">
        <v>1.4282300000000001E-4</v>
      </c>
      <c r="M19" s="1">
        <v>9.8920770000000005E-2</v>
      </c>
      <c r="O19" s="1">
        <f t="shared" si="0"/>
        <v>-1.7130059E-3</v>
      </c>
    </row>
    <row r="20" spans="2:15" x14ac:dyDescent="0.25">
      <c r="B20" s="1">
        <v>0</v>
      </c>
      <c r="C20" s="1">
        <v>0</v>
      </c>
      <c r="D20" s="1">
        <v>1.6E-2</v>
      </c>
      <c r="E20" s="1">
        <v>-0.1006584</v>
      </c>
      <c r="F20" s="1">
        <v>-1.6305390000000001E-3</v>
      </c>
      <c r="G20" s="1">
        <v>-1.8486770000000001E-4</v>
      </c>
      <c r="H20" s="1">
        <v>3.123865E-2</v>
      </c>
      <c r="I20" s="1">
        <v>3.537339E-3</v>
      </c>
      <c r="J20" s="1">
        <v>0</v>
      </c>
      <c r="K20" s="1">
        <v>6.4608949999999998E-2</v>
      </c>
      <c r="L20" s="1">
        <v>2.1579459999999999E-4</v>
      </c>
      <c r="M20" s="1">
        <v>0.10066659999999999</v>
      </c>
      <c r="O20" s="1">
        <f t="shared" si="0"/>
        <v>-1.8154067000000001E-3</v>
      </c>
    </row>
    <row r="21" spans="2:15" x14ac:dyDescent="0.25">
      <c r="B21" s="1">
        <v>0</v>
      </c>
      <c r="C21" s="1">
        <v>0</v>
      </c>
      <c r="D21" s="1">
        <v>1.7000000000000001E-2</v>
      </c>
      <c r="E21" s="1">
        <v>-0.1025049</v>
      </c>
      <c r="F21" s="1">
        <v>-1.733933E-3</v>
      </c>
      <c r="G21" s="1">
        <v>-1.965917E-4</v>
      </c>
      <c r="H21" s="1">
        <v>3.1837610000000002E-2</v>
      </c>
      <c r="I21" s="1">
        <v>3.6051949999999998E-3</v>
      </c>
      <c r="J21" s="1">
        <v>0</v>
      </c>
      <c r="K21" s="1">
        <v>6.4980659999999996E-2</v>
      </c>
      <c r="L21" s="1">
        <v>2.9797390000000002E-4</v>
      </c>
      <c r="M21" s="1">
        <v>0.1024359</v>
      </c>
      <c r="O21" s="1">
        <f t="shared" si="0"/>
        <v>-1.9305247000000001E-3</v>
      </c>
    </row>
    <row r="22" spans="2:15" x14ac:dyDescent="0.25">
      <c r="B22" s="1">
        <v>0</v>
      </c>
      <c r="C22" s="1">
        <v>0</v>
      </c>
      <c r="D22" s="1">
        <v>1.7999999999999999E-2</v>
      </c>
      <c r="E22" s="1">
        <v>-0.1043912</v>
      </c>
      <c r="F22" s="1">
        <v>-1.849608E-3</v>
      </c>
      <c r="G22" s="1">
        <v>-2.0970820000000001E-4</v>
      </c>
      <c r="H22" s="1">
        <v>3.2453309999999999E-2</v>
      </c>
      <c r="I22" s="1">
        <v>3.6749479999999999E-3</v>
      </c>
      <c r="J22" s="1">
        <v>0</v>
      </c>
      <c r="K22" s="1">
        <v>6.5569279999999994E-2</v>
      </c>
      <c r="L22" s="1">
        <v>3.9031409999999998E-4</v>
      </c>
      <c r="M22" s="1">
        <v>0.1042336</v>
      </c>
      <c r="O22" s="1">
        <f t="shared" si="0"/>
        <v>-2.0593161999999999E-3</v>
      </c>
    </row>
    <row r="23" spans="2:15" x14ac:dyDescent="0.25">
      <c r="B23" s="1">
        <v>0</v>
      </c>
      <c r="C23" s="1">
        <v>0</v>
      </c>
      <c r="D23" s="1">
        <v>1.9E-2</v>
      </c>
      <c r="E23" s="1">
        <v>-0.1063229</v>
      </c>
      <c r="F23" s="1">
        <v>-1.9785610000000002E-3</v>
      </c>
      <c r="G23" s="1">
        <v>-2.243305E-4</v>
      </c>
      <c r="H23" s="1">
        <v>3.3087640000000001E-2</v>
      </c>
      <c r="I23" s="1">
        <v>3.7468139999999998E-3</v>
      </c>
      <c r="J23" s="1">
        <v>0</v>
      </c>
      <c r="K23" s="1">
        <v>6.6346680000000005E-2</v>
      </c>
      <c r="L23" s="1">
        <v>4.9394490000000005E-4</v>
      </c>
      <c r="M23" s="1">
        <v>0.1060638</v>
      </c>
      <c r="O23" s="1">
        <f t="shared" si="0"/>
        <v>-2.2028915000000004E-3</v>
      </c>
    </row>
    <row r="24" spans="2:15" x14ac:dyDescent="0.25">
      <c r="B24" s="1">
        <v>0</v>
      </c>
      <c r="C24" s="1">
        <v>0</v>
      </c>
      <c r="D24" s="1">
        <v>0.02</v>
      </c>
      <c r="E24" s="1">
        <v>-0.10830239999999999</v>
      </c>
      <c r="F24" s="1">
        <v>-2.1221669999999999E-3</v>
      </c>
      <c r="G24" s="1">
        <v>-2.406144E-4</v>
      </c>
      <c r="H24" s="1">
        <v>3.3742309999999998E-2</v>
      </c>
      <c r="I24" s="1">
        <v>3.8209860000000002E-3</v>
      </c>
      <c r="J24" s="1">
        <v>0</v>
      </c>
      <c r="K24" s="1">
        <v>6.7290600000000006E-2</v>
      </c>
      <c r="L24" s="1">
        <v>6.1015750000000001E-4</v>
      </c>
      <c r="M24" s="1">
        <v>0.1079292</v>
      </c>
      <c r="O24" s="1">
        <f t="shared" si="0"/>
        <v>-2.3627813999999997E-3</v>
      </c>
    </row>
    <row r="25" spans="2:15" x14ac:dyDescent="0.25">
      <c r="B25" s="1">
        <v>0</v>
      </c>
      <c r="C25" s="1">
        <v>0</v>
      </c>
      <c r="D25" s="1">
        <v>2.1000000000000001E-2</v>
      </c>
      <c r="E25" s="1">
        <v>-0.1103325</v>
      </c>
      <c r="F25" s="1">
        <v>-2.2818199999999999E-3</v>
      </c>
      <c r="G25" s="1">
        <v>-2.5871789999999998E-4</v>
      </c>
      <c r="H25" s="1">
        <v>3.4418700000000003E-2</v>
      </c>
      <c r="I25" s="1">
        <v>3.897621E-3</v>
      </c>
      <c r="J25" s="1">
        <v>0</v>
      </c>
      <c r="K25" s="1">
        <v>6.8383369999999999E-2</v>
      </c>
      <c r="L25" s="1">
        <v>7.4041199999999997E-4</v>
      </c>
      <c r="M25" s="1">
        <v>0.1098312</v>
      </c>
      <c r="O25" s="1">
        <f t="shared" si="0"/>
        <v>-2.5405378999999997E-3</v>
      </c>
    </row>
    <row r="26" spans="2:15" x14ac:dyDescent="0.25">
      <c r="B26" s="1">
        <v>0</v>
      </c>
      <c r="C26" s="1">
        <v>0</v>
      </c>
      <c r="D26" s="1">
        <v>2.1999999999999999E-2</v>
      </c>
      <c r="E26" s="1">
        <v>-0.1124148</v>
      </c>
      <c r="F26" s="1">
        <v>-2.4589579999999998E-3</v>
      </c>
      <c r="G26" s="1">
        <v>-2.7880439999999998E-4</v>
      </c>
      <c r="H26" s="1">
        <v>3.5117669999999997E-2</v>
      </c>
      <c r="I26" s="1">
        <v>3.9768160000000002E-3</v>
      </c>
      <c r="J26" s="1">
        <v>0</v>
      </c>
      <c r="K26" s="1">
        <v>6.9610409999999998E-2</v>
      </c>
      <c r="L26" s="1">
        <v>8.8628700000000003E-4</v>
      </c>
      <c r="M26" s="1">
        <v>0.1117696</v>
      </c>
      <c r="O26" s="1">
        <f t="shared" si="0"/>
        <v>-2.7377623999999996E-3</v>
      </c>
    </row>
    <row r="27" spans="2:15" x14ac:dyDescent="0.25">
      <c r="B27" s="1">
        <v>0</v>
      </c>
      <c r="C27" s="1">
        <v>0</v>
      </c>
      <c r="D27" s="1">
        <v>2.3E-2</v>
      </c>
      <c r="E27" s="1">
        <v>-0.1145466</v>
      </c>
      <c r="F27" s="1">
        <v>-2.6550699999999998E-3</v>
      </c>
      <c r="G27" s="1">
        <v>-3.0104239999999998E-4</v>
      </c>
      <c r="H27" s="1">
        <v>3.5839080000000002E-2</v>
      </c>
      <c r="I27" s="1">
        <v>4.0585559999999996E-3</v>
      </c>
      <c r="J27" s="1">
        <v>0</v>
      </c>
      <c r="K27" s="1">
        <v>7.0958259999999995E-2</v>
      </c>
      <c r="L27" s="1">
        <v>1.0493329999999999E-3</v>
      </c>
      <c r="M27" s="1">
        <v>0.11374049999999999</v>
      </c>
      <c r="O27" s="1">
        <f t="shared" si="0"/>
        <v>-2.9561123999999996E-3</v>
      </c>
    </row>
    <row r="28" spans="2:15" x14ac:dyDescent="0.25">
      <c r="B28" s="1">
        <v>0</v>
      </c>
      <c r="C28" s="1">
        <v>0</v>
      </c>
      <c r="D28" s="1">
        <v>2.4E-2</v>
      </c>
      <c r="E28" s="1">
        <v>-0.1167189</v>
      </c>
      <c r="F28" s="1">
        <v>-2.8713800000000002E-3</v>
      </c>
      <c r="G28" s="1">
        <v>-3.2557110000000001E-4</v>
      </c>
      <c r="H28" s="1">
        <v>3.6580880000000003E-2</v>
      </c>
      <c r="I28" s="1">
        <v>4.1426090000000002E-3</v>
      </c>
      <c r="J28" s="1">
        <v>0</v>
      </c>
      <c r="K28" s="1">
        <v>7.2411909999999996E-2</v>
      </c>
      <c r="L28" s="1">
        <v>1.2307640000000001E-3</v>
      </c>
      <c r="M28" s="1">
        <v>0.1157344</v>
      </c>
      <c r="O28" s="1">
        <f t="shared" si="0"/>
        <v>-3.1969511000000004E-3</v>
      </c>
    </row>
    <row r="29" spans="2:15" x14ac:dyDescent="0.25">
      <c r="B29" s="1">
        <v>0</v>
      </c>
      <c r="C29" s="1">
        <v>0</v>
      </c>
      <c r="D29" s="1">
        <v>2.5000000000000001E-2</v>
      </c>
      <c r="E29" s="1">
        <v>-0.1189117</v>
      </c>
      <c r="F29" s="1">
        <v>-3.1081860000000002E-3</v>
      </c>
      <c r="G29" s="1">
        <v>-3.5242409999999998E-4</v>
      </c>
      <c r="H29" s="1">
        <v>3.7337509999999997E-2</v>
      </c>
      <c r="I29" s="1">
        <v>4.2283429999999999E-3</v>
      </c>
      <c r="J29" s="1">
        <v>0</v>
      </c>
      <c r="K29" s="1">
        <v>7.3950470000000004E-2</v>
      </c>
      <c r="L29" s="1">
        <v>1.4308019999999999E-3</v>
      </c>
      <c r="M29" s="1">
        <v>0.1177319</v>
      </c>
      <c r="O29" s="1">
        <f t="shared" si="0"/>
        <v>-3.4606101000000003E-3</v>
      </c>
    </row>
    <row r="30" spans="2:15" x14ac:dyDescent="0.25">
      <c r="B30" s="1">
        <v>0</v>
      </c>
      <c r="C30" s="1">
        <v>0</v>
      </c>
      <c r="D30" s="1">
        <v>2.5999999999999999E-2</v>
      </c>
      <c r="E30" s="1">
        <v>-0.1210864</v>
      </c>
      <c r="F30" s="1">
        <v>-3.3633790000000001E-3</v>
      </c>
      <c r="G30" s="1">
        <v>-3.8136220000000001E-4</v>
      </c>
      <c r="H30" s="1">
        <v>3.8096890000000001E-2</v>
      </c>
      <c r="I30" s="1">
        <v>4.3143929999999997E-3</v>
      </c>
      <c r="J30" s="1">
        <v>0</v>
      </c>
      <c r="K30" s="1">
        <v>7.5539729999999999E-2</v>
      </c>
      <c r="L30" s="1">
        <v>1.6473709999999999E-3</v>
      </c>
      <c r="M30" s="1">
        <v>0.1196977</v>
      </c>
      <c r="O30" s="1">
        <f t="shared" si="0"/>
        <v>-3.7447412000000003E-3</v>
      </c>
    </row>
    <row r="31" spans="2:15" x14ac:dyDescent="0.25">
      <c r="B31" s="1">
        <v>0</v>
      </c>
      <c r="C31" s="1">
        <v>0</v>
      </c>
      <c r="D31" s="1">
        <v>2.7E-2</v>
      </c>
      <c r="E31" s="1">
        <v>-0.1231719</v>
      </c>
      <c r="F31" s="1">
        <v>-3.6294040000000001E-3</v>
      </c>
      <c r="G31" s="1">
        <v>-4.11529E-4</v>
      </c>
      <c r="H31" s="1">
        <v>3.8834889999999997E-2</v>
      </c>
      <c r="I31" s="1">
        <v>4.3980219999999997E-3</v>
      </c>
      <c r="J31" s="1">
        <v>0</v>
      </c>
      <c r="K31" s="1">
        <v>7.7118829999999999E-2</v>
      </c>
      <c r="L31" s="1">
        <v>1.8735290000000001E-3</v>
      </c>
      <c r="M31" s="1">
        <v>0.12156790000000001</v>
      </c>
      <c r="O31" s="1">
        <f t="shared" si="0"/>
        <v>-4.040933E-3</v>
      </c>
    </row>
    <row r="32" spans="2:15" x14ac:dyDescent="0.25">
      <c r="B32" s="1">
        <v>0</v>
      </c>
      <c r="C32" s="1">
        <v>0</v>
      </c>
      <c r="D32" s="1">
        <v>2.8000000000000001E-2</v>
      </c>
      <c r="E32" s="1">
        <v>-0.12504019999999999</v>
      </c>
      <c r="F32" s="1">
        <v>-3.8874220000000002E-3</v>
      </c>
      <c r="G32" s="1">
        <v>-4.4078779999999999E-4</v>
      </c>
      <c r="H32" s="1">
        <v>3.9505209999999999E-2</v>
      </c>
      <c r="I32" s="1">
        <v>4.4739840000000003E-3</v>
      </c>
      <c r="J32" s="1">
        <v>0</v>
      </c>
      <c r="K32" s="1">
        <v>7.8576800000000002E-2</v>
      </c>
      <c r="L32" s="1">
        <v>2.0927099999999998E-3</v>
      </c>
      <c r="M32" s="1">
        <v>0.1232299</v>
      </c>
      <c r="O32" s="1">
        <f t="shared" si="0"/>
        <v>-4.3282097999999998E-3</v>
      </c>
    </row>
    <row r="33" spans="2:15" x14ac:dyDescent="0.25">
      <c r="B33" s="1">
        <v>0</v>
      </c>
      <c r="C33" s="1">
        <v>0</v>
      </c>
      <c r="D33" s="1">
        <v>2.9000000000000001E-2</v>
      </c>
      <c r="E33" s="1">
        <v>-0.12646170000000001</v>
      </c>
      <c r="F33" s="1">
        <v>-4.0972659999999996E-3</v>
      </c>
      <c r="G33" s="1">
        <v>-4.6458399999999998E-4</v>
      </c>
      <c r="H33" s="1">
        <v>4.0021349999999997E-2</v>
      </c>
      <c r="I33" s="1">
        <v>4.5324759999999997E-3</v>
      </c>
      <c r="J33" s="1">
        <v>0</v>
      </c>
      <c r="K33" s="1">
        <v>7.9711959999999998E-2</v>
      </c>
      <c r="L33" s="1">
        <v>2.2705949999999998E-3</v>
      </c>
      <c r="M33" s="1">
        <v>0.12448480000000001</v>
      </c>
      <c r="O33" s="1">
        <f t="shared" si="0"/>
        <v>-4.5618499999999992E-3</v>
      </c>
    </row>
    <row r="34" spans="2:15" x14ac:dyDescent="0.25">
      <c r="B34" s="1">
        <v>0</v>
      </c>
      <c r="C34" s="1">
        <v>0</v>
      </c>
      <c r="D34" s="1">
        <v>0.03</v>
      </c>
      <c r="E34" s="1">
        <v>-0.12702430000000001</v>
      </c>
      <c r="F34" s="1">
        <v>-4.1836419999999996E-3</v>
      </c>
      <c r="G34" s="1">
        <v>-4.7437899999999998E-4</v>
      </c>
      <c r="H34" s="1">
        <v>4.0226970000000001E-2</v>
      </c>
      <c r="I34" s="1">
        <v>4.5557769999999996E-3</v>
      </c>
      <c r="J34" s="1">
        <v>0</v>
      </c>
      <c r="K34" s="1">
        <v>8.0166780000000007E-2</v>
      </c>
      <c r="L34" s="1">
        <v>2.3437029999999999E-3</v>
      </c>
      <c r="M34" s="1">
        <v>0.1249786</v>
      </c>
      <c r="O34" s="1">
        <f t="shared" si="0"/>
        <v>-4.6580209999999992E-3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3" sqref="D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</row>
    <row r="2" spans="1:15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 t="s">
        <v>16</v>
      </c>
      <c r="B3" t="s">
        <v>17</v>
      </c>
      <c r="C3" t="s">
        <v>1</v>
      </c>
      <c r="D3" t="s">
        <v>23</v>
      </c>
      <c r="E3" t="s">
        <v>19</v>
      </c>
      <c r="F3" t="s">
        <v>1</v>
      </c>
      <c r="G3">
        <v>31</v>
      </c>
      <c r="H3" t="s">
        <v>20</v>
      </c>
      <c r="I3" t="s">
        <v>1</v>
      </c>
      <c r="J3">
        <v>1</v>
      </c>
      <c r="K3" t="s">
        <v>21</v>
      </c>
      <c r="L3" t="s">
        <v>1</v>
      </c>
      <c r="M3">
        <v>1</v>
      </c>
      <c r="N3" t="s">
        <v>22</v>
      </c>
      <c r="O3" t="s">
        <v>28</v>
      </c>
    </row>
    <row r="4" spans="1:15" x14ac:dyDescent="0.25">
      <c r="B4" s="1">
        <v>0</v>
      </c>
      <c r="C4" s="1">
        <v>0</v>
      </c>
      <c r="D4" s="1">
        <v>0</v>
      </c>
      <c r="E4" s="1">
        <v>-0.13529389999999999</v>
      </c>
      <c r="F4" s="1">
        <v>-1.3213229999999999E-2</v>
      </c>
      <c r="G4" s="1">
        <v>-1.4979660000000001E-3</v>
      </c>
      <c r="H4" s="1">
        <v>3.3481480000000001E-2</v>
      </c>
      <c r="I4" s="1">
        <v>3.7937579999999999E-3</v>
      </c>
      <c r="J4" s="1">
        <v>0</v>
      </c>
      <c r="K4" s="1">
        <v>0.26538859999999997</v>
      </c>
      <c r="L4" s="1">
        <v>1.3463819999999999E-3</v>
      </c>
      <c r="M4" s="1">
        <v>8.134893E-2</v>
      </c>
      <c r="O4" s="1">
        <f>SUM(F4:G4)</f>
        <v>-1.4711195999999999E-2</v>
      </c>
    </row>
    <row r="5" spans="1:15" x14ac:dyDescent="0.25">
      <c r="B5" s="1">
        <v>0</v>
      </c>
      <c r="C5" s="1">
        <v>0</v>
      </c>
      <c r="D5" s="1">
        <v>1E-3</v>
      </c>
      <c r="E5" s="1">
        <v>-0.12215669999999999</v>
      </c>
      <c r="F5" s="1">
        <v>-1.4994449999999999E-2</v>
      </c>
      <c r="G5" s="1">
        <v>-1.6999129999999999E-3</v>
      </c>
      <c r="H5" s="1">
        <v>4.2609069999999999E-2</v>
      </c>
      <c r="I5" s="1">
        <v>4.8257830000000002E-3</v>
      </c>
      <c r="J5" s="1">
        <v>0</v>
      </c>
      <c r="K5" s="1">
        <v>0.22490760000000001</v>
      </c>
      <c r="L5" s="1">
        <v>2.292479E-3</v>
      </c>
      <c r="M5" s="1">
        <v>0.1082699</v>
      </c>
      <c r="O5" s="1">
        <f t="shared" ref="O5:O34" si="0">SUM(F5:G5)</f>
        <v>-1.6694363E-2</v>
      </c>
    </row>
    <row r="6" spans="1:15" x14ac:dyDescent="0.25">
      <c r="B6" s="1">
        <v>0</v>
      </c>
      <c r="C6" s="1">
        <v>0</v>
      </c>
      <c r="D6" s="1">
        <v>2E-3</v>
      </c>
      <c r="E6" s="1">
        <v>-0.1222364</v>
      </c>
      <c r="F6" s="1">
        <v>-1.5521439999999999E-2</v>
      </c>
      <c r="G6" s="1">
        <v>-1.759673E-3</v>
      </c>
      <c r="H6" s="1">
        <v>4.6927570000000002E-2</v>
      </c>
      <c r="I6" s="1">
        <v>5.314811E-3</v>
      </c>
      <c r="J6" s="1">
        <v>0</v>
      </c>
      <c r="K6" s="1">
        <v>0.19532050000000001</v>
      </c>
      <c r="L6" s="1">
        <v>2.6081390000000002E-3</v>
      </c>
      <c r="M6" s="1">
        <v>0.1218229</v>
      </c>
      <c r="O6" s="1">
        <f t="shared" si="0"/>
        <v>-1.7281113000000001E-2</v>
      </c>
    </row>
    <row r="7" spans="1:15" x14ac:dyDescent="0.25">
      <c r="B7" s="1">
        <v>0</v>
      </c>
      <c r="C7" s="1">
        <v>0</v>
      </c>
      <c r="D7" s="1">
        <v>3.0000000000000001E-3</v>
      </c>
      <c r="E7" s="1">
        <v>-0.12523519999999999</v>
      </c>
      <c r="F7" s="1">
        <v>-1.6102990000000001E-2</v>
      </c>
      <c r="G7" s="1">
        <v>-1.8256189999999999E-3</v>
      </c>
      <c r="H7" s="1">
        <v>4.9827030000000001E-2</v>
      </c>
      <c r="I7" s="1">
        <v>5.6432039999999998E-3</v>
      </c>
      <c r="J7" s="1">
        <v>0</v>
      </c>
      <c r="K7" s="1">
        <v>0.17457249999999999</v>
      </c>
      <c r="L7" s="1">
        <v>2.7749879999999999E-3</v>
      </c>
      <c r="M7" s="1">
        <v>0.1303184</v>
      </c>
      <c r="O7" s="1">
        <f t="shared" si="0"/>
        <v>-1.7928609000000002E-2</v>
      </c>
    </row>
    <row r="8" spans="1:15" x14ac:dyDescent="0.25">
      <c r="B8" s="1">
        <v>0</v>
      </c>
      <c r="C8" s="1">
        <v>0</v>
      </c>
      <c r="D8" s="1">
        <v>4.0000000000000001E-3</v>
      </c>
      <c r="E8" s="1">
        <v>-0.1291041</v>
      </c>
      <c r="F8" s="1">
        <v>-1.6866869999999999E-2</v>
      </c>
      <c r="G8" s="1">
        <v>-1.912239E-3</v>
      </c>
      <c r="H8" s="1">
        <v>5.2249249999999997E-2</v>
      </c>
      <c r="I8" s="1">
        <v>5.9175870000000002E-3</v>
      </c>
      <c r="J8" s="1">
        <v>0</v>
      </c>
      <c r="K8" s="1">
        <v>0.1603909</v>
      </c>
      <c r="L8" s="1">
        <v>2.9686629999999999E-3</v>
      </c>
      <c r="M8" s="1">
        <v>0.13674449999999999</v>
      </c>
      <c r="O8" s="1">
        <f t="shared" si="0"/>
        <v>-1.8779108999999999E-2</v>
      </c>
    </row>
    <row r="9" spans="1:15" x14ac:dyDescent="0.25">
      <c r="B9" s="1">
        <v>0</v>
      </c>
      <c r="C9" s="1">
        <v>0</v>
      </c>
      <c r="D9" s="1">
        <v>5.0000000000000001E-3</v>
      </c>
      <c r="E9" s="1">
        <v>-0.1333271</v>
      </c>
      <c r="F9" s="1">
        <v>-1.7811710000000001E-2</v>
      </c>
      <c r="G9" s="1">
        <v>-2.0193770000000002E-3</v>
      </c>
      <c r="H9" s="1">
        <v>5.4540400000000003E-2</v>
      </c>
      <c r="I9" s="1">
        <v>6.1771539999999998E-3</v>
      </c>
      <c r="J9" s="1">
        <v>0</v>
      </c>
      <c r="K9" s="1">
        <v>0.15105389999999999</v>
      </c>
      <c r="L9" s="1">
        <v>3.2509359999999998E-3</v>
      </c>
      <c r="M9" s="1">
        <v>0.14230190000000001</v>
      </c>
      <c r="O9" s="1">
        <f t="shared" si="0"/>
        <v>-1.9831087000000001E-2</v>
      </c>
    </row>
    <row r="10" spans="1:15" x14ac:dyDescent="0.25">
      <c r="B10" s="1">
        <v>0</v>
      </c>
      <c r="C10" s="1">
        <v>0</v>
      </c>
      <c r="D10" s="1">
        <v>6.0000000000000001E-3</v>
      </c>
      <c r="E10" s="1">
        <v>-0.13775780000000001</v>
      </c>
      <c r="F10" s="1">
        <v>-1.8936140000000001E-2</v>
      </c>
      <c r="G10" s="1">
        <v>-2.146879E-3</v>
      </c>
      <c r="H10" s="1">
        <v>5.6846460000000001E-2</v>
      </c>
      <c r="I10" s="1">
        <v>6.4384359999999996E-3</v>
      </c>
      <c r="J10" s="1">
        <v>0</v>
      </c>
      <c r="K10" s="1">
        <v>0.1453576</v>
      </c>
      <c r="L10" s="1">
        <v>3.650918E-3</v>
      </c>
      <c r="M10" s="1">
        <v>0.14749680000000001</v>
      </c>
      <c r="O10" s="1">
        <f t="shared" si="0"/>
        <v>-2.1083019000000001E-2</v>
      </c>
    </row>
    <row r="11" spans="1:15" x14ac:dyDescent="0.25">
      <c r="B11" s="1">
        <v>0</v>
      </c>
      <c r="C11" s="1">
        <v>0</v>
      </c>
      <c r="D11" s="1">
        <v>7.0000000000000001E-3</v>
      </c>
      <c r="E11" s="1">
        <v>-0.14235110000000001</v>
      </c>
      <c r="F11" s="1">
        <v>-2.0251080000000001E-2</v>
      </c>
      <c r="G11" s="1">
        <v>-2.295984E-3</v>
      </c>
      <c r="H11" s="1">
        <v>5.9236879999999999E-2</v>
      </c>
      <c r="I11" s="1">
        <v>6.7092979999999998E-3</v>
      </c>
      <c r="J11" s="1">
        <v>0</v>
      </c>
      <c r="K11" s="1">
        <v>0.14247570000000001</v>
      </c>
      <c r="L11" s="1">
        <v>4.1925390000000003E-3</v>
      </c>
      <c r="M11" s="1">
        <v>0.15254309999999999</v>
      </c>
      <c r="O11" s="1">
        <f t="shared" si="0"/>
        <v>-2.2547064000000002E-2</v>
      </c>
    </row>
    <row r="12" spans="1:15" x14ac:dyDescent="0.25">
      <c r="B12" s="1">
        <v>0</v>
      </c>
      <c r="C12" s="1">
        <v>0</v>
      </c>
      <c r="D12" s="1">
        <v>8.0000000000000002E-3</v>
      </c>
      <c r="E12" s="1">
        <v>-0.1470901</v>
      </c>
      <c r="F12" s="1">
        <v>-2.1778309999999999E-2</v>
      </c>
      <c r="G12" s="1">
        <v>-2.469162E-3</v>
      </c>
      <c r="H12" s="1">
        <v>6.1749440000000003E-2</v>
      </c>
      <c r="I12" s="1">
        <v>6.9940180000000003E-3</v>
      </c>
      <c r="J12" s="1">
        <v>0</v>
      </c>
      <c r="K12" s="1">
        <v>0.1418402</v>
      </c>
      <c r="L12" s="1">
        <v>4.9042879999999997E-3</v>
      </c>
      <c r="M12" s="1">
        <v>0.15752079999999999</v>
      </c>
      <c r="O12" s="1">
        <f t="shared" si="0"/>
        <v>-2.4247471999999999E-2</v>
      </c>
    </row>
    <row r="13" spans="1:15" x14ac:dyDescent="0.25">
      <c r="B13" s="1">
        <v>0</v>
      </c>
      <c r="C13" s="1">
        <v>0</v>
      </c>
      <c r="D13" s="1">
        <v>8.9999999999999993E-3</v>
      </c>
      <c r="E13" s="1">
        <v>-0.1519664</v>
      </c>
      <c r="F13" s="1">
        <v>-2.354757E-2</v>
      </c>
      <c r="G13" s="1">
        <v>-2.6697859999999999E-3</v>
      </c>
      <c r="H13" s="1">
        <v>6.4407160000000005E-2</v>
      </c>
      <c r="I13" s="1">
        <v>7.2952069999999997E-3</v>
      </c>
      <c r="J13" s="1">
        <v>0</v>
      </c>
      <c r="K13" s="1">
        <v>0.14305970000000001</v>
      </c>
      <c r="L13" s="1">
        <v>5.8236750000000004E-3</v>
      </c>
      <c r="M13" s="1">
        <v>0.16244149999999999</v>
      </c>
      <c r="O13" s="1">
        <f t="shared" si="0"/>
        <v>-2.6217356000000001E-2</v>
      </c>
    </row>
    <row r="14" spans="1:15" x14ac:dyDescent="0.25">
      <c r="B14" s="1">
        <v>0</v>
      </c>
      <c r="C14" s="1">
        <v>0</v>
      </c>
      <c r="D14" s="1">
        <v>0.01</v>
      </c>
      <c r="E14" s="1">
        <v>-0.1569769</v>
      </c>
      <c r="F14" s="1">
        <v>-2.5594249999999999E-2</v>
      </c>
      <c r="G14" s="1">
        <v>-2.90187E-3</v>
      </c>
      <c r="H14" s="1">
        <v>6.7224439999999996E-2</v>
      </c>
      <c r="I14" s="1">
        <v>7.6145020000000004E-3</v>
      </c>
      <c r="J14" s="1">
        <v>0</v>
      </c>
      <c r="K14" s="1">
        <v>0.14586399999999999</v>
      </c>
      <c r="L14" s="1">
        <v>7.0003849999999996E-3</v>
      </c>
      <c r="M14" s="1">
        <v>0.1672749</v>
      </c>
      <c r="O14" s="1">
        <f t="shared" si="0"/>
        <v>-2.849612E-2</v>
      </c>
    </row>
    <row r="15" spans="1:15" x14ac:dyDescent="0.25">
      <c r="B15" s="1">
        <v>0</v>
      </c>
      <c r="C15" s="1">
        <v>0</v>
      </c>
      <c r="D15" s="1">
        <v>1.0999999999999999E-2</v>
      </c>
      <c r="E15" s="1">
        <v>-0.16212260000000001</v>
      </c>
      <c r="F15" s="1">
        <v>-2.79581E-2</v>
      </c>
      <c r="G15" s="1">
        <v>-3.169921E-3</v>
      </c>
      <c r="H15" s="1">
        <v>7.0208850000000003E-2</v>
      </c>
      <c r="I15" s="1">
        <v>7.9527639999999993E-3</v>
      </c>
      <c r="J15" s="1">
        <v>0</v>
      </c>
      <c r="K15" s="1">
        <v>0.1500677</v>
      </c>
      <c r="L15" s="1">
        <v>8.4993369999999992E-3</v>
      </c>
      <c r="M15" s="1">
        <v>0.17195769999999999</v>
      </c>
      <c r="O15" s="1">
        <f t="shared" si="0"/>
        <v>-3.1128020999999999E-2</v>
      </c>
    </row>
    <row r="16" spans="1:15" x14ac:dyDescent="0.25">
      <c r="B16" s="1">
        <v>0</v>
      </c>
      <c r="C16" s="1">
        <v>0</v>
      </c>
      <c r="D16" s="1">
        <v>1.2E-2</v>
      </c>
      <c r="E16" s="1">
        <v>-0.1674081</v>
      </c>
      <c r="F16" s="1">
        <v>-3.0682919999999999E-2</v>
      </c>
      <c r="G16" s="1">
        <v>-3.4789080000000002E-3</v>
      </c>
      <c r="H16" s="1">
        <v>7.3361239999999994E-2</v>
      </c>
      <c r="I16" s="1">
        <v>8.3100940000000005E-3</v>
      </c>
      <c r="J16" s="1">
        <v>0</v>
      </c>
      <c r="K16" s="1">
        <v>0.15554509999999999</v>
      </c>
      <c r="L16" s="1">
        <v>1.0403849999999999E-2</v>
      </c>
      <c r="M16" s="1">
        <v>0.1763951</v>
      </c>
      <c r="O16" s="1">
        <f t="shared" si="0"/>
        <v>-3.4161827999999998E-2</v>
      </c>
    </row>
    <row r="17" spans="2:15" x14ac:dyDescent="0.25">
      <c r="B17" s="1">
        <v>0</v>
      </c>
      <c r="C17" s="1">
        <v>0</v>
      </c>
      <c r="D17" s="1">
        <v>1.2999999999999999E-2</v>
      </c>
      <c r="E17" s="1">
        <v>-0.17283870000000001</v>
      </c>
      <c r="F17" s="1">
        <v>-3.3816930000000002E-2</v>
      </c>
      <c r="G17" s="1">
        <v>-3.8343000000000001E-3</v>
      </c>
      <c r="H17" s="1">
        <v>7.667504E-2</v>
      </c>
      <c r="I17" s="1">
        <v>8.6857559999999993E-3</v>
      </c>
      <c r="J17" s="1">
        <v>0</v>
      </c>
      <c r="K17" s="1">
        <v>0.16221160000000001</v>
      </c>
      <c r="L17" s="1">
        <v>1.2818639999999999E-2</v>
      </c>
      <c r="M17" s="1">
        <v>0.1804578</v>
      </c>
      <c r="O17" s="1">
        <f t="shared" si="0"/>
        <v>-3.7651230000000001E-2</v>
      </c>
    </row>
    <row r="18" spans="2:15" x14ac:dyDescent="0.25">
      <c r="B18" s="1">
        <v>0</v>
      </c>
      <c r="C18" s="1">
        <v>0</v>
      </c>
      <c r="D18" s="1">
        <v>1.4E-2</v>
      </c>
      <c r="E18" s="1">
        <v>-0.17841789999999999</v>
      </c>
      <c r="F18" s="1">
        <v>-3.7413179999999997E-2</v>
      </c>
      <c r="G18" s="1">
        <v>-4.242114E-3</v>
      </c>
      <c r="H18" s="1">
        <v>8.0135620000000005E-2</v>
      </c>
      <c r="I18" s="1">
        <v>9.0780970000000002E-3</v>
      </c>
      <c r="J18" s="1">
        <v>0</v>
      </c>
      <c r="K18" s="1">
        <v>0.170011</v>
      </c>
      <c r="L18" s="1">
        <v>1.5871940000000001E-2</v>
      </c>
      <c r="M18" s="1">
        <v>0.1839787</v>
      </c>
      <c r="O18" s="1">
        <f t="shared" si="0"/>
        <v>-4.1655293999999995E-2</v>
      </c>
    </row>
    <row r="19" spans="2:15" x14ac:dyDescent="0.25">
      <c r="B19" s="1">
        <v>0</v>
      </c>
      <c r="C19" s="1">
        <v>0</v>
      </c>
      <c r="D19" s="1">
        <v>1.4999999999999999E-2</v>
      </c>
      <c r="E19" s="1">
        <v>-0.18414459999999999</v>
      </c>
      <c r="F19" s="1">
        <v>-4.152985E-2</v>
      </c>
      <c r="G19" s="1">
        <v>-4.7089510000000003E-3</v>
      </c>
      <c r="H19" s="1">
        <v>8.3720050000000004E-2</v>
      </c>
      <c r="I19" s="1">
        <v>9.4845299999999997E-3</v>
      </c>
      <c r="J19" s="1">
        <v>0</v>
      </c>
      <c r="K19" s="1">
        <v>0.1789046</v>
      </c>
      <c r="L19" s="1">
        <v>1.9715610000000001E-2</v>
      </c>
      <c r="M19" s="1">
        <v>0.18675159999999999</v>
      </c>
      <c r="O19" s="1">
        <f t="shared" si="0"/>
        <v>-4.6238801000000003E-2</v>
      </c>
    </row>
    <row r="20" spans="2:15" x14ac:dyDescent="0.25">
      <c r="B20" s="1">
        <v>0</v>
      </c>
      <c r="C20" s="1">
        <v>0</v>
      </c>
      <c r="D20" s="1">
        <v>1.6E-2</v>
      </c>
      <c r="E20" s="1">
        <v>-0.1900105</v>
      </c>
      <c r="F20" s="1">
        <v>-4.6230010000000002E-2</v>
      </c>
      <c r="G20" s="1">
        <v>-5.2419620000000002E-3</v>
      </c>
      <c r="H20" s="1">
        <v>8.7398020000000007E-2</v>
      </c>
      <c r="I20" s="1">
        <v>9.9016250000000007E-3</v>
      </c>
      <c r="J20" s="1">
        <v>0</v>
      </c>
      <c r="K20" s="1">
        <v>0.1888647</v>
      </c>
      <c r="L20" s="1">
        <v>2.452178E-2</v>
      </c>
      <c r="M20" s="1">
        <v>0.18853519999999999</v>
      </c>
      <c r="O20" s="1">
        <f t="shared" si="0"/>
        <v>-5.1471972000000005E-2</v>
      </c>
    </row>
    <row r="21" spans="2:15" x14ac:dyDescent="0.25">
      <c r="B21" s="1">
        <v>0</v>
      </c>
      <c r="C21" s="1">
        <v>0</v>
      </c>
      <c r="D21" s="1">
        <v>1.7000000000000001E-2</v>
      </c>
      <c r="E21" s="1">
        <v>-0.19599720000000001</v>
      </c>
      <c r="F21" s="1">
        <v>-5.1580620000000001E-2</v>
      </c>
      <c r="G21" s="1">
        <v>-5.8487449999999998E-3</v>
      </c>
      <c r="H21" s="1">
        <v>9.1134400000000004E-2</v>
      </c>
      <c r="I21" s="1">
        <v>1.032541E-2</v>
      </c>
      <c r="J21" s="1">
        <v>0</v>
      </c>
      <c r="K21" s="1">
        <v>0.19986889999999999</v>
      </c>
      <c r="L21" s="1">
        <v>3.0474330000000001E-2</v>
      </c>
      <c r="M21" s="1">
        <v>0.18906310000000001</v>
      </c>
      <c r="O21" s="1">
        <f t="shared" si="0"/>
        <v>-5.7429365000000003E-2</v>
      </c>
    </row>
    <row r="22" spans="2:15" x14ac:dyDescent="0.25">
      <c r="B22" s="1">
        <v>0</v>
      </c>
      <c r="C22" s="1">
        <v>0</v>
      </c>
      <c r="D22" s="1">
        <v>1.7999999999999999E-2</v>
      </c>
      <c r="E22" s="1">
        <v>-0.2020749</v>
      </c>
      <c r="F22" s="1">
        <v>-5.7650670000000001E-2</v>
      </c>
      <c r="G22" s="1">
        <v>-6.5371250000000004E-3</v>
      </c>
      <c r="H22" s="1">
        <v>9.489388E-2</v>
      </c>
      <c r="I22" s="1">
        <v>1.07519E-2</v>
      </c>
      <c r="J22" s="1">
        <v>0</v>
      </c>
      <c r="K22" s="1">
        <v>0.21189910000000001</v>
      </c>
      <c r="L22" s="1">
        <v>3.7754200000000002E-2</v>
      </c>
      <c r="M22" s="1">
        <v>0.18806419999999999</v>
      </c>
      <c r="O22" s="1">
        <f t="shared" si="0"/>
        <v>-6.4187795000000006E-2</v>
      </c>
    </row>
    <row r="23" spans="2:15" x14ac:dyDescent="0.25">
      <c r="B23" s="1">
        <v>0</v>
      </c>
      <c r="C23" s="1">
        <v>0</v>
      </c>
      <c r="D23" s="1">
        <v>1.9E-2</v>
      </c>
      <c r="E23" s="1">
        <v>-0.20820130000000001</v>
      </c>
      <c r="F23" s="1">
        <v>-6.4508010000000005E-2</v>
      </c>
      <c r="G23" s="1">
        <v>-7.3147990000000003E-3</v>
      </c>
      <c r="H23" s="1">
        <v>9.8647470000000001E-2</v>
      </c>
      <c r="I23" s="1">
        <v>1.117781E-2</v>
      </c>
      <c r="J23" s="1">
        <v>0</v>
      </c>
      <c r="K23" s="1">
        <v>0.22494069999999999</v>
      </c>
      <c r="L23" s="1">
        <v>4.6518549999999999E-2</v>
      </c>
      <c r="M23" s="1">
        <v>0.1852905</v>
      </c>
      <c r="O23" s="1">
        <f t="shared" si="0"/>
        <v>-7.1822809000000001E-2</v>
      </c>
    </row>
    <row r="24" spans="2:15" x14ac:dyDescent="0.25">
      <c r="B24" s="1">
        <v>0</v>
      </c>
      <c r="C24" s="1">
        <v>0</v>
      </c>
      <c r="D24" s="1">
        <v>0.02</v>
      </c>
      <c r="E24" s="1">
        <v>-0.2143159</v>
      </c>
      <c r="F24" s="1">
        <v>-7.2217649999999994E-2</v>
      </c>
      <c r="G24" s="1">
        <v>-8.1891419999999999E-3</v>
      </c>
      <c r="H24" s="1">
        <v>0.1023819</v>
      </c>
      <c r="I24" s="1">
        <v>1.160165E-2</v>
      </c>
      <c r="J24" s="1">
        <v>0</v>
      </c>
      <c r="K24" s="1">
        <v>0.23898349999999999</v>
      </c>
      <c r="L24" s="1">
        <v>5.687507E-2</v>
      </c>
      <c r="M24" s="1">
        <v>0.18055309999999999</v>
      </c>
      <c r="O24" s="1">
        <f t="shared" si="0"/>
        <v>-8.0406791999999991E-2</v>
      </c>
    </row>
    <row r="25" spans="2:15" x14ac:dyDescent="0.25">
      <c r="B25" s="1">
        <v>0</v>
      </c>
      <c r="C25" s="1">
        <v>0</v>
      </c>
      <c r="D25" s="1">
        <v>2.1000000000000001E-2</v>
      </c>
      <c r="E25" s="1">
        <v>-0.2203495</v>
      </c>
      <c r="F25" s="1">
        <v>-8.0831070000000005E-2</v>
      </c>
      <c r="G25" s="1">
        <v>-9.1659930000000008E-3</v>
      </c>
      <c r="H25" s="1">
        <v>0.1061042</v>
      </c>
      <c r="I25" s="1">
        <v>1.202421E-2</v>
      </c>
      <c r="J25" s="1">
        <v>0</v>
      </c>
      <c r="K25" s="1">
        <v>0.25401829999999997</v>
      </c>
      <c r="L25" s="1">
        <v>6.8855230000000003E-2</v>
      </c>
      <c r="M25" s="1">
        <v>0.17376059999999999</v>
      </c>
      <c r="O25" s="1">
        <f t="shared" si="0"/>
        <v>-8.9997063000000002E-2</v>
      </c>
    </row>
    <row r="26" spans="2:15" x14ac:dyDescent="0.25">
      <c r="B26" s="1">
        <v>0</v>
      </c>
      <c r="C26" s="1">
        <v>0</v>
      </c>
      <c r="D26" s="1">
        <v>2.1999999999999999E-2</v>
      </c>
      <c r="E26" s="1">
        <v>-0.2262246</v>
      </c>
      <c r="F26" s="1">
        <v>-9.0378260000000002E-2</v>
      </c>
      <c r="G26" s="1">
        <v>-1.0248760000000001E-2</v>
      </c>
      <c r="H26" s="1">
        <v>0.10984720000000001</v>
      </c>
      <c r="I26" s="1">
        <v>1.244923E-2</v>
      </c>
      <c r="J26" s="1">
        <v>0</v>
      </c>
      <c r="K26" s="1">
        <v>0.27002530000000002</v>
      </c>
      <c r="L26" s="1">
        <v>8.2389340000000005E-2</v>
      </c>
      <c r="M26" s="1">
        <v>0.1649554</v>
      </c>
      <c r="O26" s="1">
        <f t="shared" si="0"/>
        <v>-0.10062702</v>
      </c>
    </row>
    <row r="27" spans="2:15" x14ac:dyDescent="0.25">
      <c r="B27" s="1">
        <v>0</v>
      </c>
      <c r="C27" s="1">
        <v>0</v>
      </c>
      <c r="D27" s="1">
        <v>2.3E-2</v>
      </c>
      <c r="E27" s="1">
        <v>-0.2318568</v>
      </c>
      <c r="F27" s="1">
        <v>-0.1008568</v>
      </c>
      <c r="G27" s="1">
        <v>-1.143716E-2</v>
      </c>
      <c r="H27" s="1">
        <v>0.1136707</v>
      </c>
      <c r="I27" s="1">
        <v>1.2883449999999999E-2</v>
      </c>
      <c r="J27" s="1">
        <v>0</v>
      </c>
      <c r="K27" s="1">
        <v>0.28694649999999999</v>
      </c>
      <c r="L27" s="1">
        <v>9.7286200000000003E-2</v>
      </c>
      <c r="M27" s="1">
        <v>0.1543417</v>
      </c>
      <c r="O27" s="1">
        <f t="shared" si="0"/>
        <v>-0.11229396</v>
      </c>
    </row>
    <row r="28" spans="2:15" x14ac:dyDescent="0.25">
      <c r="B28" s="1">
        <v>0</v>
      </c>
      <c r="C28" s="1">
        <v>0</v>
      </c>
      <c r="D28" s="1">
        <v>2.4E-2</v>
      </c>
      <c r="E28" s="1">
        <v>-0.23715939999999999</v>
      </c>
      <c r="F28" s="1">
        <v>-0.1122134</v>
      </c>
      <c r="G28" s="1">
        <v>-1.2725159999999999E-2</v>
      </c>
      <c r="H28" s="1">
        <v>0.1176537</v>
      </c>
      <c r="I28" s="1">
        <v>1.333582E-2</v>
      </c>
      <c r="J28" s="1">
        <v>0</v>
      </c>
      <c r="K28" s="1">
        <v>0.30463430000000002</v>
      </c>
      <c r="L28" s="1">
        <v>0.1132185</v>
      </c>
      <c r="M28" s="1">
        <v>0.14230110000000001</v>
      </c>
      <c r="O28" s="1">
        <f t="shared" si="0"/>
        <v>-0.12493856</v>
      </c>
    </row>
    <row r="29" spans="2:15" x14ac:dyDescent="0.25">
      <c r="B29" s="1">
        <v>0</v>
      </c>
      <c r="C29" s="1">
        <v>0</v>
      </c>
      <c r="D29" s="1">
        <v>2.5000000000000001E-2</v>
      </c>
      <c r="E29" s="1">
        <v>-0.24204729999999999</v>
      </c>
      <c r="F29" s="1">
        <v>-0.1243146</v>
      </c>
      <c r="G29" s="1">
        <v>-1.409764E-2</v>
      </c>
      <c r="H29" s="1">
        <v>0.1218756</v>
      </c>
      <c r="I29" s="1">
        <v>1.3815340000000001E-2</v>
      </c>
      <c r="J29" s="1">
        <v>0</v>
      </c>
      <c r="K29" s="1">
        <v>0.32276949999999999</v>
      </c>
      <c r="L29" s="1">
        <v>0.1297151</v>
      </c>
      <c r="M29" s="1">
        <v>0.1293956</v>
      </c>
      <c r="O29" s="1">
        <f t="shared" si="0"/>
        <v>-0.13841223999999999</v>
      </c>
    </row>
    <row r="30" spans="2:15" x14ac:dyDescent="0.25">
      <c r="B30" s="1">
        <v>0</v>
      </c>
      <c r="C30" s="1">
        <v>0</v>
      </c>
      <c r="D30" s="1">
        <v>2.5999999999999999E-2</v>
      </c>
      <c r="E30" s="1">
        <v>-0.24643899999999999</v>
      </c>
      <c r="F30" s="1">
        <v>-0.13689680000000001</v>
      </c>
      <c r="G30" s="1">
        <v>-1.5524670000000001E-2</v>
      </c>
      <c r="H30" s="1">
        <v>0.12638170000000001</v>
      </c>
      <c r="I30" s="1">
        <v>1.4327090000000001E-2</v>
      </c>
      <c r="J30" s="1">
        <v>-1.7067039999999999E-4</v>
      </c>
      <c r="K30" s="1">
        <v>0.34075539999999999</v>
      </c>
      <c r="L30" s="1">
        <v>0.1461837</v>
      </c>
      <c r="M30" s="1">
        <v>0.1163622</v>
      </c>
      <c r="O30" s="1">
        <f t="shared" si="0"/>
        <v>-0.15242147</v>
      </c>
    </row>
    <row r="31" spans="2:15" x14ac:dyDescent="0.25">
      <c r="B31" s="1">
        <v>0</v>
      </c>
      <c r="C31" s="1">
        <v>0</v>
      </c>
      <c r="D31" s="1">
        <v>2.7E-2</v>
      </c>
      <c r="E31" s="1">
        <v>-0.2502511</v>
      </c>
      <c r="F31" s="1">
        <v>-0.14947289999999999</v>
      </c>
      <c r="G31" s="1">
        <v>-1.6951040000000001E-2</v>
      </c>
      <c r="H31" s="1">
        <v>0.1310981</v>
      </c>
      <c r="I31" s="1">
        <v>1.486265E-2</v>
      </c>
      <c r="J31" s="1">
        <v>-1.7037439999999999E-4</v>
      </c>
      <c r="K31" s="1">
        <v>0.35754439999999998</v>
      </c>
      <c r="L31" s="1">
        <v>0.1617043</v>
      </c>
      <c r="M31" s="1">
        <v>0.1040416</v>
      </c>
      <c r="O31" s="1">
        <f t="shared" si="0"/>
        <v>-0.16642393999999999</v>
      </c>
    </row>
    <row r="32" spans="2:15" x14ac:dyDescent="0.25">
      <c r="B32" s="1">
        <v>0</v>
      </c>
      <c r="C32" s="1">
        <v>0</v>
      </c>
      <c r="D32" s="1">
        <v>2.8000000000000001E-2</v>
      </c>
      <c r="E32" s="1">
        <v>-0.25336829999999999</v>
      </c>
      <c r="F32" s="1">
        <v>-0.16115119999999999</v>
      </c>
      <c r="G32" s="1">
        <v>-1.8275599999999999E-2</v>
      </c>
      <c r="H32" s="1">
        <v>0.1357332</v>
      </c>
      <c r="I32" s="1">
        <v>1.538891E-2</v>
      </c>
      <c r="J32" s="1">
        <v>-1.700808E-4</v>
      </c>
      <c r="K32" s="1">
        <v>0.37170500000000001</v>
      </c>
      <c r="L32" s="1">
        <v>0.17520520000000001</v>
      </c>
      <c r="M32" s="1">
        <v>9.3447879999999997E-2</v>
      </c>
      <c r="O32" s="1">
        <f t="shared" si="0"/>
        <v>-0.1794268</v>
      </c>
    </row>
    <row r="33" spans="2:15" x14ac:dyDescent="0.25">
      <c r="B33" s="1">
        <v>0</v>
      </c>
      <c r="C33" s="1">
        <v>0</v>
      </c>
      <c r="D33" s="1">
        <v>2.9000000000000001E-2</v>
      </c>
      <c r="E33" s="1">
        <v>-0.25557920000000001</v>
      </c>
      <c r="F33" s="1">
        <v>-0.17030149999999999</v>
      </c>
      <c r="G33" s="1">
        <v>-1.9313449999999999E-2</v>
      </c>
      <c r="H33" s="1">
        <v>0.13956189999999999</v>
      </c>
      <c r="I33" s="1">
        <v>1.582356E-2</v>
      </c>
      <c r="J33" s="1">
        <v>-1.698382E-4</v>
      </c>
      <c r="K33" s="1">
        <v>0.38152550000000002</v>
      </c>
      <c r="L33" s="1">
        <v>0.18511810000000001</v>
      </c>
      <c r="M33" s="1">
        <v>8.5800000000000001E-2</v>
      </c>
      <c r="O33" s="1">
        <f t="shared" si="0"/>
        <v>-0.18961495</v>
      </c>
    </row>
    <row r="34" spans="2:15" x14ac:dyDescent="0.25">
      <c r="B34" s="1">
        <v>0</v>
      </c>
      <c r="C34" s="1">
        <v>0</v>
      </c>
      <c r="D34" s="1">
        <v>0.03</v>
      </c>
      <c r="E34" s="1">
        <v>-0.25642330000000002</v>
      </c>
      <c r="F34" s="1">
        <v>-0.17398939999999999</v>
      </c>
      <c r="G34" s="1">
        <v>-1.9731740000000001E-2</v>
      </c>
      <c r="H34" s="1">
        <v>0.14115739999999999</v>
      </c>
      <c r="I34" s="1">
        <v>1.600468E-2</v>
      </c>
      <c r="J34" s="1">
        <v>-1.6973760000000001E-4</v>
      </c>
      <c r="K34" s="1">
        <v>0.38508530000000002</v>
      </c>
      <c r="L34" s="1">
        <v>0.18892490000000001</v>
      </c>
      <c r="M34" s="1">
        <v>8.2890900000000003E-2</v>
      </c>
      <c r="O34" s="1">
        <f t="shared" si="0"/>
        <v>-0.19372113999999999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3" sqref="D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</row>
    <row r="2" spans="1:15" x14ac:dyDescent="0.25">
      <c r="A2" t="s">
        <v>3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 t="s">
        <v>16</v>
      </c>
      <c r="B3" t="s">
        <v>17</v>
      </c>
      <c r="C3" t="s">
        <v>1</v>
      </c>
      <c r="D3" t="s">
        <v>18</v>
      </c>
      <c r="E3" t="s">
        <v>19</v>
      </c>
      <c r="F3" t="s">
        <v>1</v>
      </c>
      <c r="G3">
        <v>31</v>
      </c>
      <c r="H3" t="s">
        <v>20</v>
      </c>
      <c r="I3" t="s">
        <v>1</v>
      </c>
      <c r="J3">
        <v>1</v>
      </c>
      <c r="K3" t="s">
        <v>21</v>
      </c>
      <c r="L3" t="s">
        <v>1</v>
      </c>
      <c r="M3">
        <v>1</v>
      </c>
      <c r="N3" t="s">
        <v>22</v>
      </c>
      <c r="O3" t="s">
        <v>28</v>
      </c>
    </row>
    <row r="4" spans="1:15" x14ac:dyDescent="0.25">
      <c r="B4" s="1">
        <v>0</v>
      </c>
      <c r="C4" s="1">
        <v>0</v>
      </c>
      <c r="D4" s="1">
        <v>0</v>
      </c>
      <c r="E4" s="1">
        <v>-0.22823399999999999</v>
      </c>
      <c r="F4" s="1">
        <v>-0.43118269999999997</v>
      </c>
      <c r="G4" s="1">
        <v>-4.8883450000000002E-2</v>
      </c>
      <c r="H4" s="1">
        <v>0.34874050000000001</v>
      </c>
      <c r="I4" s="1">
        <v>3.9529809999999999E-2</v>
      </c>
      <c r="J4" s="1">
        <v>0</v>
      </c>
      <c r="K4" s="1">
        <v>0.69946010000000003</v>
      </c>
      <c r="L4" s="1">
        <v>0.12628909999999999</v>
      </c>
      <c r="M4" s="1">
        <v>0.19361680000000001</v>
      </c>
      <c r="O4" s="1">
        <f>SUM(F4:G4)</f>
        <v>-0.48006614999999997</v>
      </c>
    </row>
    <row r="5" spans="1:15" x14ac:dyDescent="0.25">
      <c r="B5" s="1">
        <v>0</v>
      </c>
      <c r="C5" s="1">
        <v>0</v>
      </c>
      <c r="D5" s="1">
        <v>1E-3</v>
      </c>
      <c r="E5" s="1">
        <v>-0.23338200000000001</v>
      </c>
      <c r="F5" s="1">
        <v>-0.44738289999999997</v>
      </c>
      <c r="G5" s="1">
        <v>-5.0721000000000002E-2</v>
      </c>
      <c r="H5" s="1">
        <v>0.3586876</v>
      </c>
      <c r="I5" s="1">
        <v>4.0656810000000002E-2</v>
      </c>
      <c r="J5" s="1">
        <v>0</v>
      </c>
      <c r="K5" s="1">
        <v>0.82066689999999998</v>
      </c>
      <c r="L5" s="1">
        <v>0.25414680000000001</v>
      </c>
      <c r="M5" s="1">
        <v>0.1933029</v>
      </c>
      <c r="O5" s="1">
        <f t="shared" ref="O5:O34" si="0">SUM(F5:G5)</f>
        <v>-0.49810389999999999</v>
      </c>
    </row>
    <row r="6" spans="1:15" x14ac:dyDescent="0.25">
      <c r="B6" s="1">
        <v>0</v>
      </c>
      <c r="C6" s="1">
        <v>0</v>
      </c>
      <c r="D6" s="1">
        <v>2E-3</v>
      </c>
      <c r="E6" s="1">
        <v>-0.24186360000000001</v>
      </c>
      <c r="F6" s="1">
        <v>-0.46611520000000001</v>
      </c>
      <c r="G6" s="1">
        <v>-5.2845650000000001E-2</v>
      </c>
      <c r="H6" s="1">
        <v>0.35981629999999998</v>
      </c>
      <c r="I6" s="1">
        <v>4.0787150000000001E-2</v>
      </c>
      <c r="J6" s="1">
        <v>0</v>
      </c>
      <c r="K6" s="1">
        <v>0.89087159999999999</v>
      </c>
      <c r="L6" s="1">
        <v>0.31349349999999998</v>
      </c>
      <c r="M6" s="1">
        <v>0.15673619999999999</v>
      </c>
      <c r="O6" s="1">
        <f t="shared" si="0"/>
        <v>-0.51896085000000003</v>
      </c>
    </row>
    <row r="7" spans="1:15" x14ac:dyDescent="0.25">
      <c r="B7" s="1">
        <v>0</v>
      </c>
      <c r="C7" s="1">
        <v>0</v>
      </c>
      <c r="D7" s="1">
        <v>3.0000000000000001E-3</v>
      </c>
      <c r="E7" s="1">
        <v>-0.24871309999999999</v>
      </c>
      <c r="F7" s="1">
        <v>-0.48087800000000003</v>
      </c>
      <c r="G7" s="1">
        <v>-5.4520279999999997E-2</v>
      </c>
      <c r="H7" s="1">
        <v>0.35877150000000002</v>
      </c>
      <c r="I7" s="1">
        <v>4.0670959999999999E-2</v>
      </c>
      <c r="J7" s="1">
        <v>0</v>
      </c>
      <c r="K7" s="1">
        <v>0.93559320000000001</v>
      </c>
      <c r="L7" s="1">
        <v>0.34607379999999999</v>
      </c>
      <c r="M7" s="1">
        <v>0.12071659999999999</v>
      </c>
      <c r="O7" s="1">
        <f t="shared" si="0"/>
        <v>-0.53539828</v>
      </c>
    </row>
    <row r="8" spans="1:15" x14ac:dyDescent="0.25">
      <c r="B8" s="1">
        <v>0</v>
      </c>
      <c r="C8" s="1">
        <v>0</v>
      </c>
      <c r="D8" s="1">
        <v>4.0000000000000001E-3</v>
      </c>
      <c r="E8" s="1">
        <v>-0.25410349999999998</v>
      </c>
      <c r="F8" s="1">
        <v>-0.49095139999999998</v>
      </c>
      <c r="G8" s="1">
        <v>-5.5663240000000003E-2</v>
      </c>
      <c r="H8" s="1">
        <v>0.35652709999999999</v>
      </c>
      <c r="I8" s="1">
        <v>4.041844E-2</v>
      </c>
      <c r="J8" s="1">
        <v>0</v>
      </c>
      <c r="K8" s="1">
        <v>0.95970259999999996</v>
      </c>
      <c r="L8" s="1">
        <v>0.36799349999999997</v>
      </c>
      <c r="M8" s="1">
        <v>9.1005370000000002E-2</v>
      </c>
      <c r="O8" s="1">
        <f t="shared" si="0"/>
        <v>-0.54661464000000004</v>
      </c>
    </row>
    <row r="9" spans="1:15" x14ac:dyDescent="0.25">
      <c r="B9" s="1">
        <v>0</v>
      </c>
      <c r="C9" s="1">
        <v>0</v>
      </c>
      <c r="D9" s="1">
        <v>5.0000000000000001E-3</v>
      </c>
      <c r="E9" s="1">
        <v>-0.25846760000000002</v>
      </c>
      <c r="F9" s="1">
        <v>-0.49637569999999998</v>
      </c>
      <c r="G9" s="1">
        <v>-5.6279120000000002E-2</v>
      </c>
      <c r="H9" s="1">
        <v>0.3530392</v>
      </c>
      <c r="I9" s="1">
        <v>4.002464E-2</v>
      </c>
      <c r="J9" s="1">
        <v>0</v>
      </c>
      <c r="K9" s="1">
        <v>0.96336619999999995</v>
      </c>
      <c r="L9" s="1">
        <v>0.38318770000000002</v>
      </c>
      <c r="M9" s="1">
        <v>6.7538589999999996E-2</v>
      </c>
      <c r="O9" s="1">
        <f t="shared" si="0"/>
        <v>-0.55265481999999999</v>
      </c>
    </row>
    <row r="10" spans="1:15" x14ac:dyDescent="0.25">
      <c r="B10" s="1">
        <v>0</v>
      </c>
      <c r="C10" s="1">
        <v>0</v>
      </c>
      <c r="D10" s="1">
        <v>6.0000000000000001E-3</v>
      </c>
      <c r="E10" s="1">
        <v>-0.26209339999999998</v>
      </c>
      <c r="F10" s="1">
        <v>-0.49729250000000003</v>
      </c>
      <c r="G10" s="1">
        <v>-5.6383910000000002E-2</v>
      </c>
      <c r="H10" s="1">
        <v>0.34814000000000001</v>
      </c>
      <c r="I10" s="1">
        <v>3.9470560000000002E-2</v>
      </c>
      <c r="J10" s="1">
        <v>0</v>
      </c>
      <c r="K10" s="1">
        <v>0.94500680000000004</v>
      </c>
      <c r="L10" s="1">
        <v>0.39283980000000002</v>
      </c>
      <c r="M10" s="1">
        <v>4.945219E-2</v>
      </c>
      <c r="O10" s="1">
        <f t="shared" si="0"/>
        <v>-0.55367641000000001</v>
      </c>
    </row>
    <row r="11" spans="1:15" x14ac:dyDescent="0.25">
      <c r="B11" s="1">
        <v>0</v>
      </c>
      <c r="C11" s="1">
        <v>0</v>
      </c>
      <c r="D11" s="1">
        <v>7.0000000000000001E-3</v>
      </c>
      <c r="E11" s="1">
        <v>-0.26515420000000001</v>
      </c>
      <c r="F11" s="1">
        <v>-0.49389179999999999</v>
      </c>
      <c r="G11" s="1">
        <v>-5.5999180000000003E-2</v>
      </c>
      <c r="H11" s="1">
        <v>0.34168589999999999</v>
      </c>
      <c r="I11" s="1">
        <v>3.8739969999999999E-2</v>
      </c>
      <c r="J11" s="1">
        <v>0</v>
      </c>
      <c r="K11" s="1">
        <v>0.9023407</v>
      </c>
      <c r="L11" s="1">
        <v>0.3976654</v>
      </c>
      <c r="M11" s="1">
        <v>3.5830290000000001E-2</v>
      </c>
      <c r="O11" s="1">
        <f t="shared" si="0"/>
        <v>-0.54989098000000003</v>
      </c>
    </row>
    <row r="12" spans="1:15" x14ac:dyDescent="0.25">
      <c r="B12" s="1">
        <v>0</v>
      </c>
      <c r="C12" s="1">
        <v>0</v>
      </c>
      <c r="D12" s="1">
        <v>8.0000000000000002E-3</v>
      </c>
      <c r="E12" s="1">
        <v>-0.2677467</v>
      </c>
      <c r="F12" s="1">
        <v>-0.48641250000000003</v>
      </c>
      <c r="G12" s="1">
        <v>-5.5151980000000003E-2</v>
      </c>
      <c r="H12" s="1">
        <v>0.33357829999999999</v>
      </c>
      <c r="I12" s="1">
        <v>3.7821710000000001E-2</v>
      </c>
      <c r="J12" s="1">
        <v>0</v>
      </c>
      <c r="K12" s="1">
        <v>0.83399049999999997</v>
      </c>
      <c r="L12" s="1">
        <v>0.39831569999999999</v>
      </c>
      <c r="M12" s="1">
        <v>2.5795640000000002E-2</v>
      </c>
      <c r="O12" s="1">
        <f t="shared" si="0"/>
        <v>-0.54156448000000001</v>
      </c>
    </row>
    <row r="13" spans="1:15" x14ac:dyDescent="0.25">
      <c r="B13" s="1">
        <v>0</v>
      </c>
      <c r="C13" s="1">
        <v>0</v>
      </c>
      <c r="D13" s="1">
        <v>8.9999999999999993E-3</v>
      </c>
      <c r="E13" s="1">
        <v>-0.2699203</v>
      </c>
      <c r="F13" s="1">
        <v>-0.47515220000000002</v>
      </c>
      <c r="G13" s="1">
        <v>-5.3876060000000003E-2</v>
      </c>
      <c r="H13" s="1">
        <v>0.32377840000000002</v>
      </c>
      <c r="I13" s="1">
        <v>3.6711430000000003E-2</v>
      </c>
      <c r="J13" s="1">
        <v>0</v>
      </c>
      <c r="K13" s="1">
        <v>0.74171039999999999</v>
      </c>
      <c r="L13" s="1">
        <v>0.39542169999999999</v>
      </c>
      <c r="M13" s="1">
        <v>1.85414E-2</v>
      </c>
      <c r="O13" s="1">
        <f t="shared" si="0"/>
        <v>-0.52902826000000003</v>
      </c>
    </row>
    <row r="14" spans="1:15" x14ac:dyDescent="0.25">
      <c r="B14" s="1">
        <v>0</v>
      </c>
      <c r="C14" s="1">
        <v>0</v>
      </c>
      <c r="D14" s="1">
        <v>0.01</v>
      </c>
      <c r="E14" s="1">
        <v>-0.27170450000000002</v>
      </c>
      <c r="F14" s="1">
        <v>-0.46048339999999999</v>
      </c>
      <c r="G14" s="1">
        <v>-5.2213629999999997E-2</v>
      </c>
      <c r="H14" s="1">
        <v>0.31232949999999998</v>
      </c>
      <c r="I14" s="1">
        <v>3.5414040000000001E-2</v>
      </c>
      <c r="J14" s="1">
        <v>0</v>
      </c>
      <c r="K14" s="1">
        <v>0.63190930000000001</v>
      </c>
      <c r="L14" s="1">
        <v>0.3895824</v>
      </c>
      <c r="M14" s="1">
        <v>1.336595E-2</v>
      </c>
      <c r="O14" s="1">
        <f t="shared" si="0"/>
        <v>-0.51269703</v>
      </c>
    </row>
    <row r="15" spans="1:15" x14ac:dyDescent="0.25">
      <c r="B15" s="1">
        <v>0</v>
      </c>
      <c r="C15" s="1">
        <v>0</v>
      </c>
      <c r="D15" s="1">
        <v>1.0999999999999999E-2</v>
      </c>
      <c r="E15" s="1">
        <v>-0.27312750000000002</v>
      </c>
      <c r="F15" s="1">
        <v>-0.44286189999999998</v>
      </c>
      <c r="G15" s="1">
        <v>-5.0216339999999998E-2</v>
      </c>
      <c r="H15" s="1">
        <v>0.2993693</v>
      </c>
      <c r="I15" s="1">
        <v>3.3945200000000002E-2</v>
      </c>
      <c r="J15" s="1">
        <v>0</v>
      </c>
      <c r="K15" s="1">
        <v>0.51490860000000005</v>
      </c>
      <c r="L15" s="1">
        <v>0.38135360000000001</v>
      </c>
      <c r="M15" s="1">
        <v>9.6974439999999995E-3</v>
      </c>
      <c r="O15" s="1">
        <f t="shared" si="0"/>
        <v>-0.49307824</v>
      </c>
    </row>
    <row r="16" spans="1:15" x14ac:dyDescent="0.25">
      <c r="B16" s="1">
        <v>0</v>
      </c>
      <c r="C16" s="1">
        <v>0</v>
      </c>
      <c r="D16" s="1">
        <v>1.2E-2</v>
      </c>
      <c r="E16" s="1">
        <v>-0.27422669999999999</v>
      </c>
      <c r="F16" s="1">
        <v>-0.42281600000000003</v>
      </c>
      <c r="G16" s="1">
        <v>-4.7944109999999998E-2</v>
      </c>
      <c r="H16" s="1">
        <v>0.28512379999999998</v>
      </c>
      <c r="I16" s="1">
        <v>3.2330530000000003E-2</v>
      </c>
      <c r="J16" s="1">
        <v>0</v>
      </c>
      <c r="K16" s="1">
        <v>0.4019528</v>
      </c>
      <c r="L16" s="1">
        <v>0.37124649999999998</v>
      </c>
      <c r="M16" s="1">
        <v>7.0976269999999996E-3</v>
      </c>
      <c r="O16" s="1">
        <f t="shared" si="0"/>
        <v>-0.47076011000000001</v>
      </c>
    </row>
    <row r="17" spans="2:15" x14ac:dyDescent="0.25">
      <c r="B17" s="1">
        <v>0</v>
      </c>
      <c r="C17" s="1">
        <v>0</v>
      </c>
      <c r="D17" s="1">
        <v>1.2999999999999999E-2</v>
      </c>
      <c r="E17" s="1">
        <v>-0.2750493</v>
      </c>
      <c r="F17" s="1">
        <v>-0.40091690000000002</v>
      </c>
      <c r="G17" s="1">
        <v>-4.5461660000000001E-2</v>
      </c>
      <c r="H17" s="1">
        <v>0.26988139999999999</v>
      </c>
      <c r="I17" s="1">
        <v>3.060274E-2</v>
      </c>
      <c r="J17" s="1">
        <v>0</v>
      </c>
      <c r="K17" s="1">
        <v>0.30188160000000003</v>
      </c>
      <c r="L17" s="1">
        <v>0.3597302</v>
      </c>
      <c r="M17" s="1">
        <v>5.248122E-3</v>
      </c>
      <c r="O17" s="1">
        <f t="shared" si="0"/>
        <v>-0.44637856000000004</v>
      </c>
    </row>
    <row r="18" spans="2:15" x14ac:dyDescent="0.25">
      <c r="B18" s="1">
        <v>0</v>
      </c>
      <c r="C18" s="1">
        <v>0</v>
      </c>
      <c r="D18" s="1">
        <v>1.4E-2</v>
      </c>
      <c r="E18" s="1">
        <v>-0.27564759999999999</v>
      </c>
      <c r="F18" s="1">
        <v>-0.37773889999999999</v>
      </c>
      <c r="G18" s="1">
        <v>-4.2834129999999998E-2</v>
      </c>
      <c r="H18" s="1">
        <v>0.2539592</v>
      </c>
      <c r="I18" s="1">
        <v>2.879779E-2</v>
      </c>
      <c r="J18" s="1">
        <v>0</v>
      </c>
      <c r="K18" s="1">
        <v>0.2193812</v>
      </c>
      <c r="L18" s="1">
        <v>0.34723320000000002</v>
      </c>
      <c r="M18" s="1">
        <v>3.927753E-3</v>
      </c>
      <c r="O18" s="1">
        <f t="shared" si="0"/>
        <v>-0.42057303000000001</v>
      </c>
    </row>
    <row r="19" spans="2:15" x14ac:dyDescent="0.25">
      <c r="B19" s="1">
        <v>0</v>
      </c>
      <c r="C19" s="1">
        <v>0</v>
      </c>
      <c r="D19" s="1">
        <v>1.4999999999999999E-2</v>
      </c>
      <c r="E19" s="1">
        <v>-0.2760724</v>
      </c>
      <c r="F19" s="1">
        <v>-0.35382419999999998</v>
      </c>
      <c r="G19" s="1">
        <v>-4.0122989999999997E-2</v>
      </c>
      <c r="H19" s="1">
        <v>0.2376711</v>
      </c>
      <c r="I19" s="1">
        <v>2.6951289999999999E-2</v>
      </c>
      <c r="J19" s="1">
        <v>0</v>
      </c>
      <c r="K19" s="1">
        <v>0.1551902</v>
      </c>
      <c r="L19" s="1">
        <v>0.3341401</v>
      </c>
      <c r="M19" s="1">
        <v>2.9867029999999998E-3</v>
      </c>
      <c r="O19" s="1">
        <f t="shared" si="0"/>
        <v>-0.39394719</v>
      </c>
    </row>
    <row r="20" spans="2:15" x14ac:dyDescent="0.25">
      <c r="B20" s="1">
        <v>0</v>
      </c>
      <c r="C20" s="1">
        <v>0</v>
      </c>
      <c r="D20" s="1">
        <v>1.6E-2</v>
      </c>
      <c r="E20" s="1">
        <v>-0.27636830000000001</v>
      </c>
      <c r="F20" s="1">
        <v>-0.32965739999999999</v>
      </c>
      <c r="G20" s="1">
        <v>-3.7383180000000002E-2</v>
      </c>
      <c r="H20" s="1">
        <v>0.221306</v>
      </c>
      <c r="I20" s="1">
        <v>2.5095969999999999E-2</v>
      </c>
      <c r="J20" s="1">
        <v>0</v>
      </c>
      <c r="K20" s="1">
        <v>0.1074184</v>
      </c>
      <c r="L20" s="1">
        <v>0.32078580000000001</v>
      </c>
      <c r="M20" s="1">
        <v>2.3219170000000002E-3</v>
      </c>
      <c r="O20" s="1">
        <f t="shared" si="0"/>
        <v>-0.36704058000000001</v>
      </c>
    </row>
    <row r="21" spans="2:15" x14ac:dyDescent="0.25">
      <c r="B21" s="1">
        <v>0</v>
      </c>
      <c r="C21" s="1">
        <v>0</v>
      </c>
      <c r="D21" s="1">
        <v>1.7000000000000001E-2</v>
      </c>
      <c r="E21" s="1">
        <v>-0.27657169999999998</v>
      </c>
      <c r="F21" s="1">
        <v>-0.30565249999999999</v>
      </c>
      <c r="G21" s="1">
        <v>-3.4661650000000002E-2</v>
      </c>
      <c r="H21" s="1">
        <v>0.2051142</v>
      </c>
      <c r="I21" s="1">
        <v>2.326025E-2</v>
      </c>
      <c r="J21" s="1">
        <v>-3.2301609999999999E-21</v>
      </c>
      <c r="K21" s="1">
        <v>7.2998430000000003E-2</v>
      </c>
      <c r="L21" s="1">
        <v>0.30749330000000002</v>
      </c>
      <c r="M21" s="1">
        <v>1.858735E-3</v>
      </c>
      <c r="O21" s="1">
        <f t="shared" si="0"/>
        <v>-0.34031414999999998</v>
      </c>
    </row>
    <row r="22" spans="2:15" x14ac:dyDescent="0.25">
      <c r="B22" s="1">
        <v>0</v>
      </c>
      <c r="C22" s="1">
        <v>0</v>
      </c>
      <c r="D22" s="1">
        <v>1.7999999999999999E-2</v>
      </c>
      <c r="E22" s="1">
        <v>-0.27671079999999998</v>
      </c>
      <c r="F22" s="1">
        <v>-0.28214939999999999</v>
      </c>
      <c r="G22" s="1">
        <v>-3.1996919999999998E-2</v>
      </c>
      <c r="H22" s="1">
        <v>0.1893031</v>
      </c>
      <c r="I22" s="1">
        <v>2.146764E-2</v>
      </c>
      <c r="J22" s="1">
        <v>-8.5391009999999997E-5</v>
      </c>
      <c r="K22" s="1">
        <v>4.8733859999999997E-2</v>
      </c>
      <c r="L22" s="1">
        <v>0.29439609999999999</v>
      </c>
      <c r="M22" s="1">
        <v>1.540505E-3</v>
      </c>
      <c r="O22" s="1">
        <f t="shared" si="0"/>
        <v>-0.31414631999999998</v>
      </c>
    </row>
    <row r="23" spans="2:15" x14ac:dyDescent="0.25">
      <c r="B23" s="1">
        <v>0</v>
      </c>
      <c r="C23" s="1">
        <v>0</v>
      </c>
      <c r="D23" s="1">
        <v>1.9E-2</v>
      </c>
      <c r="E23" s="1">
        <v>-0.27680660000000001</v>
      </c>
      <c r="F23" s="1">
        <v>-0.2594167</v>
      </c>
      <c r="G23" s="1">
        <v>-2.9419480000000001E-2</v>
      </c>
      <c r="H23" s="1">
        <v>0.17403779999999999</v>
      </c>
      <c r="I23" s="1">
        <v>1.973687E-2</v>
      </c>
      <c r="J23" s="1">
        <v>-7.4167199999999997E-5</v>
      </c>
      <c r="K23" s="1">
        <v>3.1845449999999997E-2</v>
      </c>
      <c r="L23" s="1">
        <v>0.28170909999999999</v>
      </c>
      <c r="M23" s="1">
        <v>1.3240509999999999E-3</v>
      </c>
      <c r="O23" s="1">
        <f t="shared" si="0"/>
        <v>-0.28883618</v>
      </c>
    </row>
    <row r="24" spans="2:15" x14ac:dyDescent="0.25">
      <c r="B24" s="1">
        <v>0</v>
      </c>
      <c r="C24" s="1">
        <v>0</v>
      </c>
      <c r="D24" s="1">
        <v>0.02</v>
      </c>
      <c r="E24" s="1">
        <v>-0.27686810000000001</v>
      </c>
      <c r="F24" s="1">
        <v>-0.23765349999999999</v>
      </c>
      <c r="G24" s="1">
        <v>-2.6951909999999999E-2</v>
      </c>
      <c r="H24" s="1">
        <v>0.159441</v>
      </c>
      <c r="I24" s="1">
        <v>1.8081839999999998E-2</v>
      </c>
      <c r="J24" s="1">
        <v>-6.3103209999999996E-5</v>
      </c>
      <c r="K24" s="1">
        <v>2.014299E-2</v>
      </c>
      <c r="L24" s="1">
        <v>0.26955750000000001</v>
      </c>
      <c r="M24" s="1">
        <v>1.1770260000000001E-3</v>
      </c>
      <c r="O24" s="1">
        <f t="shared" si="0"/>
        <v>-0.26460540999999999</v>
      </c>
    </row>
    <row r="25" spans="2:15" x14ac:dyDescent="0.25">
      <c r="B25" s="1">
        <v>0</v>
      </c>
      <c r="C25" s="1">
        <v>0</v>
      </c>
      <c r="D25" s="1">
        <v>2.1000000000000001E-2</v>
      </c>
      <c r="E25" s="1">
        <v>-0.2769047</v>
      </c>
      <c r="F25" s="1">
        <v>-0.21700720000000001</v>
      </c>
      <c r="G25" s="1">
        <v>-2.461091E-2</v>
      </c>
      <c r="H25" s="1">
        <v>0.1456037</v>
      </c>
      <c r="I25" s="1">
        <v>1.6512889999999999E-2</v>
      </c>
      <c r="J25" s="1">
        <v>-5.230043E-5</v>
      </c>
      <c r="K25" s="1">
        <v>1.1987680000000001E-2</v>
      </c>
      <c r="L25" s="1">
        <v>0.2580305</v>
      </c>
      <c r="M25" s="1">
        <v>1.0758689999999999E-3</v>
      </c>
      <c r="O25" s="1">
        <f t="shared" si="0"/>
        <v>-0.24161811</v>
      </c>
    </row>
    <row r="26" spans="2:15" x14ac:dyDescent="0.25">
      <c r="B26" s="1">
        <v>0</v>
      </c>
      <c r="C26" s="1">
        <v>0</v>
      </c>
      <c r="D26" s="1">
        <v>2.1999999999999999E-2</v>
      </c>
      <c r="E26" s="1">
        <v>-0.27692529999999999</v>
      </c>
      <c r="F26" s="1">
        <v>-0.1975799</v>
      </c>
      <c r="G26" s="1">
        <v>-2.240808E-2</v>
      </c>
      <c r="H26" s="1">
        <v>0.13258929999999999</v>
      </c>
      <c r="I26" s="1">
        <v>1.503722E-2</v>
      </c>
      <c r="J26" s="1">
        <v>-4.1809839999999997E-5</v>
      </c>
      <c r="K26" s="1">
        <v>6.1569240000000003E-3</v>
      </c>
      <c r="L26" s="1">
        <v>0.2471893</v>
      </c>
      <c r="M26" s="1">
        <v>1.0038950000000001E-3</v>
      </c>
      <c r="O26" s="1">
        <f t="shared" si="0"/>
        <v>-0.21998798</v>
      </c>
    </row>
    <row r="27" spans="2:15" x14ac:dyDescent="0.25">
      <c r="B27" s="1">
        <v>0</v>
      </c>
      <c r="C27" s="1">
        <v>0</v>
      </c>
      <c r="D27" s="1">
        <v>2.3E-2</v>
      </c>
      <c r="E27" s="1">
        <v>-0.27693509999999999</v>
      </c>
      <c r="F27" s="1">
        <v>-0.17943719999999999</v>
      </c>
      <c r="G27" s="1">
        <v>-2.0350859999999998E-2</v>
      </c>
      <c r="H27" s="1">
        <v>0.1204384</v>
      </c>
      <c r="I27" s="1">
        <v>1.365942E-2</v>
      </c>
      <c r="J27" s="1">
        <v>-3.1648869999999999E-5</v>
      </c>
      <c r="K27" s="1">
        <v>1.64908E-3</v>
      </c>
      <c r="L27" s="1">
        <v>0.2370719</v>
      </c>
      <c r="M27" s="1">
        <v>9.4961749999999999E-4</v>
      </c>
      <c r="O27" s="1">
        <f t="shared" si="0"/>
        <v>-0.19978805999999999</v>
      </c>
    </row>
    <row r="28" spans="2:15" x14ac:dyDescent="0.25">
      <c r="B28" s="1">
        <v>0</v>
      </c>
      <c r="C28" s="1">
        <v>0</v>
      </c>
      <c r="D28" s="1">
        <v>2.4E-2</v>
      </c>
      <c r="E28" s="1">
        <v>-0.27693830000000003</v>
      </c>
      <c r="F28" s="1">
        <v>-0.16262360000000001</v>
      </c>
      <c r="G28" s="1">
        <v>-1.8444309999999998E-2</v>
      </c>
      <c r="H28" s="1">
        <v>0.1091787</v>
      </c>
      <c r="I28" s="1">
        <v>1.238265E-2</v>
      </c>
      <c r="J28" s="1">
        <v>-2.181597E-5</v>
      </c>
      <c r="K28" s="1">
        <v>0</v>
      </c>
      <c r="L28" s="1">
        <v>0.2277024</v>
      </c>
      <c r="M28" s="1">
        <v>9.0544409999999997E-4</v>
      </c>
      <c r="O28" s="1">
        <f t="shared" si="0"/>
        <v>-0.18106791</v>
      </c>
    </row>
    <row r="29" spans="2:15" x14ac:dyDescent="0.25">
      <c r="B29" s="1">
        <v>0</v>
      </c>
      <c r="C29" s="1">
        <v>0</v>
      </c>
      <c r="D29" s="1">
        <v>2.5000000000000001E-2</v>
      </c>
      <c r="E29" s="1">
        <v>-0.2769412</v>
      </c>
      <c r="F29" s="1">
        <v>-0.1471838</v>
      </c>
      <c r="G29" s="1">
        <v>-1.66935E-2</v>
      </c>
      <c r="H29" s="1">
        <v>9.8838880000000004E-2</v>
      </c>
      <c r="I29" s="1">
        <v>1.121016E-2</v>
      </c>
      <c r="J29" s="1">
        <v>-1.232469E-5</v>
      </c>
      <c r="K29" s="1">
        <v>0</v>
      </c>
      <c r="L29" s="1">
        <v>0.2191061</v>
      </c>
      <c r="M29" s="1">
        <v>8.6638380000000003E-4</v>
      </c>
      <c r="O29" s="1">
        <f t="shared" si="0"/>
        <v>-0.1638773</v>
      </c>
    </row>
    <row r="30" spans="2:15" x14ac:dyDescent="0.25">
      <c r="B30" s="1">
        <v>0</v>
      </c>
      <c r="C30" s="1">
        <v>0</v>
      </c>
      <c r="D30" s="1">
        <v>2.5999999999999999E-2</v>
      </c>
      <c r="E30" s="1">
        <v>-0.27694489999999999</v>
      </c>
      <c r="F30" s="1">
        <v>-0.1331928</v>
      </c>
      <c r="G30" s="1">
        <v>-1.5106949999999999E-2</v>
      </c>
      <c r="H30" s="1">
        <v>8.9468309999999995E-2</v>
      </c>
      <c r="I30" s="1">
        <v>1.014756E-2</v>
      </c>
      <c r="J30" s="1">
        <v>-3.2456240000000001E-6</v>
      </c>
      <c r="K30" s="1">
        <v>0</v>
      </c>
      <c r="L30" s="1">
        <v>0.2113225</v>
      </c>
      <c r="M30" s="1">
        <v>8.295097E-4</v>
      </c>
      <c r="O30" s="1">
        <f t="shared" si="0"/>
        <v>-0.14829975000000001</v>
      </c>
    </row>
    <row r="31" spans="2:15" x14ac:dyDescent="0.25">
      <c r="B31" s="1">
        <v>0</v>
      </c>
      <c r="C31" s="1">
        <v>0</v>
      </c>
      <c r="D31" s="1">
        <v>2.7E-2</v>
      </c>
      <c r="E31" s="1">
        <v>-0.27694990000000003</v>
      </c>
      <c r="F31" s="1">
        <v>-0.12082030000000001</v>
      </c>
      <c r="G31" s="1">
        <v>-1.370391E-2</v>
      </c>
      <c r="H31" s="1">
        <v>8.1180479999999999E-2</v>
      </c>
      <c r="I31" s="1">
        <v>9.2077270000000006E-3</v>
      </c>
      <c r="J31" s="1">
        <v>5.2377190000000002E-6</v>
      </c>
      <c r="K31" s="1">
        <v>0</v>
      </c>
      <c r="L31" s="1">
        <v>0.20444300000000001</v>
      </c>
      <c r="M31" s="1">
        <v>7.9387369999999997E-4</v>
      </c>
      <c r="O31" s="1">
        <f t="shared" si="0"/>
        <v>-0.13452421000000001</v>
      </c>
    </row>
    <row r="32" spans="2:15" x14ac:dyDescent="0.25">
      <c r="B32" s="1">
        <v>0</v>
      </c>
      <c r="C32" s="1">
        <v>0</v>
      </c>
      <c r="D32" s="1">
        <v>2.8000000000000001E-2</v>
      </c>
      <c r="E32" s="1">
        <v>-0.27695579999999997</v>
      </c>
      <c r="F32" s="1">
        <v>-0.1104522</v>
      </c>
      <c r="G32" s="1">
        <v>-1.252815E-2</v>
      </c>
      <c r="H32" s="1">
        <v>7.4234030000000006E-2</v>
      </c>
      <c r="I32" s="1">
        <v>8.4199919999999994E-3</v>
      </c>
      <c r="J32" s="1">
        <v>1.271821E-5</v>
      </c>
      <c r="K32" s="1">
        <v>0</v>
      </c>
      <c r="L32" s="1">
        <v>0.19867799999999999</v>
      </c>
      <c r="M32" s="1">
        <v>7.6074810000000004E-4</v>
      </c>
      <c r="O32" s="1">
        <f t="shared" si="0"/>
        <v>-0.12298035</v>
      </c>
    </row>
    <row r="33" spans="2:15" x14ac:dyDescent="0.25">
      <c r="B33" s="1">
        <v>0</v>
      </c>
      <c r="C33" s="1">
        <v>0</v>
      </c>
      <c r="D33" s="1">
        <v>2.9000000000000001E-2</v>
      </c>
      <c r="E33" s="1">
        <v>-0.27696150000000003</v>
      </c>
      <c r="F33" s="1">
        <v>-0.10292949999999999</v>
      </c>
      <c r="G33" s="1">
        <v>-1.1675059999999999E-2</v>
      </c>
      <c r="H33" s="1">
        <v>6.9193229999999994E-2</v>
      </c>
      <c r="I33" s="1">
        <v>7.8483549999999996E-3</v>
      </c>
      <c r="J33" s="1">
        <v>1.8367199999999999E-5</v>
      </c>
      <c r="K33" s="1">
        <v>0</v>
      </c>
      <c r="L33" s="1">
        <v>0.19449169999999999</v>
      </c>
      <c r="M33" s="1">
        <v>7.3446820000000002E-4</v>
      </c>
      <c r="O33" s="1">
        <f t="shared" si="0"/>
        <v>-0.11460455999999999</v>
      </c>
    </row>
    <row r="34" spans="2:15" x14ac:dyDescent="0.25">
      <c r="B34" s="1">
        <v>0</v>
      </c>
      <c r="C34" s="1">
        <v>0</v>
      </c>
      <c r="D34" s="1">
        <v>0.03</v>
      </c>
      <c r="E34" s="1">
        <v>-0.27696409999999999</v>
      </c>
      <c r="F34" s="1">
        <v>-0.1000221</v>
      </c>
      <c r="G34" s="1">
        <v>-1.1345350000000001E-2</v>
      </c>
      <c r="H34" s="1">
        <v>6.7244890000000002E-2</v>
      </c>
      <c r="I34" s="1">
        <v>7.6274079999999996E-3</v>
      </c>
      <c r="J34" s="1">
        <v>2.05971E-5</v>
      </c>
      <c r="K34" s="1">
        <v>0</v>
      </c>
      <c r="L34" s="1">
        <v>0.19287099999999999</v>
      </c>
      <c r="M34" s="1">
        <v>7.2378999999999998E-4</v>
      </c>
      <c r="O34" s="1">
        <f t="shared" si="0"/>
        <v>-0.11136745000000001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Cr_FTC_4 (2)</vt:lpstr>
      <vt:lpstr>Cr_FTC_3 (2)</vt:lpstr>
      <vt:lpstr>Cr_FTC_2 (2)</vt:lpstr>
      <vt:lpstr>Cr_FTC_1 (2)</vt:lpstr>
      <vt:lpstr>Cr_FTC_4</vt:lpstr>
      <vt:lpstr>Cr_FTC_3</vt:lpstr>
      <vt:lpstr>Cr_FTC_2</vt:lpstr>
      <vt:lpstr>Cr_FTC_1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</dc:creator>
  <cp:lastModifiedBy>Rich</cp:lastModifiedBy>
  <dcterms:created xsi:type="dcterms:W3CDTF">2014-03-12T16:31:56Z</dcterms:created>
  <dcterms:modified xsi:type="dcterms:W3CDTF">2014-03-12T19:30:01Z</dcterms:modified>
</cp:coreProperties>
</file>