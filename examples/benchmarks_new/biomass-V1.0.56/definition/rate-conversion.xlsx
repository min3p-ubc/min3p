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F5" i="2" l="1"/>
  <c r="L17" i="1" l="1"/>
  <c r="L16" i="1"/>
  <c r="G24" i="1"/>
  <c r="G23" i="1"/>
  <c r="G20" i="1"/>
  <c r="G17" i="1"/>
  <c r="G15" i="1"/>
  <c r="G13" i="1"/>
  <c r="G7" i="1"/>
  <c r="G5" i="1"/>
  <c r="M13" i="1"/>
  <c r="K13" i="1"/>
  <c r="L13" i="1"/>
  <c r="L5" i="1"/>
  <c r="F24" i="1"/>
  <c r="F23" i="1"/>
  <c r="F20" i="1"/>
  <c r="F17" i="1"/>
  <c r="F15" i="1"/>
  <c r="F13" i="1"/>
  <c r="F7" i="1"/>
  <c r="F5" i="1"/>
  <c r="E24" i="1"/>
  <c r="E23" i="1"/>
  <c r="E20" i="1"/>
  <c r="E17" i="1"/>
  <c r="E15" i="1"/>
  <c r="E13" i="1"/>
  <c r="E7" i="1"/>
  <c r="E5" i="1"/>
  <c r="D24" i="1"/>
  <c r="D23" i="1"/>
  <c r="D20" i="1"/>
  <c r="D17" i="1"/>
  <c r="D15" i="1"/>
  <c r="D13" i="1"/>
  <c r="D7" i="1"/>
  <c r="D5" i="1"/>
  <c r="D2" i="1"/>
</calcChain>
</file>

<file path=xl/sharedStrings.xml><?xml version="1.0" encoding="utf-8"?>
<sst xmlns="http://schemas.openxmlformats.org/spreadsheetml/2006/main" count="57" uniqueCount="45">
  <si>
    <t>b</t>
  </si>
  <si>
    <t>Aqueous kinetics</t>
  </si>
  <si>
    <t>Catabolic</t>
  </si>
  <si>
    <r>
      <t xml:space="preserve">NO3- </t>
    </r>
    <r>
      <rPr>
        <sz val="10"/>
        <color theme="1"/>
        <rFont val="Wingdings"/>
        <charset val="2"/>
      </rPr>
      <t>à</t>
    </r>
    <r>
      <rPr>
        <sz val="10"/>
        <color theme="1"/>
        <rFont val="Arial"/>
        <family val="2"/>
      </rPr>
      <t>NO2-</t>
    </r>
  </si>
  <si>
    <r>
      <t xml:space="preserve">NO2- </t>
    </r>
    <r>
      <rPr>
        <sz val="10"/>
        <color theme="1"/>
        <rFont val="Wingdings"/>
        <charset val="2"/>
      </rPr>
      <t>à</t>
    </r>
    <r>
      <rPr>
        <sz val="10"/>
        <color theme="1"/>
        <rFont val="Arial"/>
        <family val="2"/>
      </rPr>
      <t>N2(aq)</t>
    </r>
  </si>
  <si>
    <t>Anabolic</t>
  </si>
  <si>
    <r>
      <t>Acetate</t>
    </r>
    <r>
      <rPr>
        <sz val="10"/>
        <color theme="1"/>
        <rFont val="Wingdings"/>
        <charset val="2"/>
      </rPr>
      <t>à</t>
    </r>
    <r>
      <rPr>
        <sz val="10"/>
        <color theme="1"/>
        <rFont val="Arial"/>
        <family val="2"/>
      </rPr>
      <t xml:space="preserve"> C</t>
    </r>
    <r>
      <rPr>
        <vertAlign val="subscript"/>
        <sz val="10"/>
        <color theme="1"/>
        <rFont val="Arial"/>
        <family val="2"/>
      </rPr>
      <t>5</t>
    </r>
    <r>
      <rPr>
        <sz val="10"/>
        <color theme="1"/>
        <rFont val="Arial"/>
        <family val="2"/>
      </rPr>
      <t>H</t>
    </r>
    <r>
      <rPr>
        <vertAlign val="subscript"/>
        <sz val="10"/>
        <color theme="1"/>
        <rFont val="Arial"/>
        <family val="2"/>
      </rPr>
      <t>7</t>
    </r>
    <r>
      <rPr>
        <sz val="10"/>
        <color theme="1"/>
        <rFont val="Arial"/>
        <family val="2"/>
      </rPr>
      <t>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N</t>
    </r>
  </si>
  <si>
    <t>Anabolic (NO2-)</t>
  </si>
  <si>
    <r>
      <t>Acetate</t>
    </r>
    <r>
      <rPr>
        <sz val="10"/>
        <color theme="1"/>
        <rFont val="Wingdings"/>
        <charset val="2"/>
      </rPr>
      <t>à</t>
    </r>
    <r>
      <rPr>
        <sz val="10"/>
        <color theme="1"/>
        <rFont val="Arial"/>
        <family val="2"/>
      </rPr>
      <t xml:space="preserve"> C5H7O2N</t>
    </r>
  </si>
  <si>
    <t>Overall fe=0.6</t>
  </si>
  <si>
    <t xml:space="preserve">Assimilatory </t>
  </si>
  <si>
    <t>Assimilatory</t>
  </si>
  <si>
    <t>Cr reduction (NO3-)</t>
  </si>
  <si>
    <t>Cr reduction (NO2-)</t>
  </si>
  <si>
    <t>mol cell-1 s-1</t>
  </si>
  <si>
    <t>Parameter</t>
  </si>
  <si>
    <t>Value</t>
  </si>
  <si>
    <t>Carbon in biomass per cell</t>
  </si>
  <si>
    <r>
      <t>10</t>
    </r>
    <r>
      <rPr>
        <vertAlign val="superscript"/>
        <sz val="10"/>
        <color theme="1"/>
        <rFont val="Arial"/>
        <family val="2"/>
      </rPr>
      <t>-14</t>
    </r>
    <r>
      <rPr>
        <sz val="10"/>
        <color theme="1"/>
        <rFont val="Arial"/>
        <family val="2"/>
      </rPr>
      <t xml:space="preserve"> mol C cell</t>
    </r>
    <r>
      <rPr>
        <vertAlign val="superscript"/>
        <sz val="10"/>
        <color theme="1"/>
        <rFont val="Arial"/>
        <family val="2"/>
      </rPr>
      <t>-1</t>
    </r>
  </si>
  <si>
    <r>
      <t>Mass of a cell (C</t>
    </r>
    <r>
      <rPr>
        <vertAlign val="subscript"/>
        <sz val="10"/>
        <color theme="1"/>
        <rFont val="Arial"/>
        <family val="2"/>
      </rPr>
      <t>5</t>
    </r>
    <r>
      <rPr>
        <sz val="10"/>
        <color theme="1"/>
        <rFont val="Arial"/>
        <family val="2"/>
      </rPr>
      <t>H</t>
    </r>
    <r>
      <rPr>
        <vertAlign val="subscript"/>
        <sz val="10"/>
        <color theme="1"/>
        <rFont val="Arial"/>
        <family val="2"/>
      </rPr>
      <t>7</t>
    </r>
    <r>
      <rPr>
        <sz val="10"/>
        <color theme="1"/>
        <rFont val="Arial"/>
        <family val="2"/>
      </rPr>
      <t>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N)</t>
    </r>
  </si>
  <si>
    <r>
      <t>2x10</t>
    </r>
    <r>
      <rPr>
        <vertAlign val="superscript"/>
        <sz val="10"/>
        <color theme="1"/>
        <rFont val="Arial"/>
        <family val="2"/>
      </rPr>
      <t>-15</t>
    </r>
    <r>
      <rPr>
        <sz val="10"/>
        <color theme="1"/>
        <rFont val="Arial"/>
        <family val="2"/>
      </rPr>
      <t xml:space="preserve"> mol C</t>
    </r>
    <r>
      <rPr>
        <vertAlign val="subscript"/>
        <sz val="10"/>
        <color theme="1"/>
        <rFont val="Arial"/>
        <family val="2"/>
      </rPr>
      <t>5</t>
    </r>
    <r>
      <rPr>
        <sz val="10"/>
        <color theme="1"/>
        <rFont val="Arial"/>
        <family val="2"/>
      </rPr>
      <t>H</t>
    </r>
    <r>
      <rPr>
        <vertAlign val="subscript"/>
        <sz val="10"/>
        <color theme="1"/>
        <rFont val="Arial"/>
        <family val="2"/>
      </rPr>
      <t>7</t>
    </r>
    <r>
      <rPr>
        <sz val="10"/>
        <color theme="1"/>
        <rFont val="Arial"/>
        <family val="2"/>
      </rPr>
      <t>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N cell</t>
    </r>
    <r>
      <rPr>
        <vertAlign val="superscript"/>
        <sz val="10"/>
        <color theme="1"/>
        <rFont val="Arial"/>
        <family val="2"/>
      </rPr>
      <t>-1</t>
    </r>
  </si>
  <si>
    <t>Volume of a cell</t>
  </si>
  <si>
    <r>
      <t>1 µm</t>
    </r>
    <r>
      <rPr>
        <vertAlign val="super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 xml:space="preserve"> cell</t>
    </r>
    <r>
      <rPr>
        <vertAlign val="superscript"/>
        <sz val="10"/>
        <color theme="1"/>
        <rFont val="Arial"/>
        <family val="2"/>
      </rPr>
      <t>-1</t>
    </r>
    <r>
      <rPr>
        <sz val="10"/>
        <color theme="1"/>
        <rFont val="Arial"/>
        <family val="2"/>
      </rPr>
      <t xml:space="preserve"> = 10</t>
    </r>
    <r>
      <rPr>
        <vertAlign val="superscript"/>
        <sz val="10"/>
        <color theme="1"/>
        <rFont val="Arial"/>
        <family val="2"/>
      </rPr>
      <t>-18</t>
    </r>
    <r>
      <rPr>
        <sz val="10"/>
        <color theme="1"/>
        <rFont val="Arial"/>
        <family val="2"/>
      </rPr>
      <t xml:space="preserve"> m</t>
    </r>
    <r>
      <rPr>
        <vertAlign val="super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 xml:space="preserve"> cell</t>
    </r>
    <r>
      <rPr>
        <vertAlign val="superscript"/>
        <sz val="10"/>
        <color theme="1"/>
        <rFont val="Arial"/>
        <family val="2"/>
      </rPr>
      <t>-1</t>
    </r>
  </si>
  <si>
    <r>
      <t>Volume per mol of C</t>
    </r>
    <r>
      <rPr>
        <vertAlign val="subscript"/>
        <sz val="10"/>
        <color theme="1"/>
        <rFont val="Arial"/>
        <family val="2"/>
      </rPr>
      <t>5</t>
    </r>
    <r>
      <rPr>
        <sz val="10"/>
        <color theme="1"/>
        <rFont val="Arial"/>
        <family val="2"/>
      </rPr>
      <t>H</t>
    </r>
    <r>
      <rPr>
        <vertAlign val="subscript"/>
        <sz val="10"/>
        <color theme="1"/>
        <rFont val="Arial"/>
        <family val="2"/>
      </rPr>
      <t>7</t>
    </r>
    <r>
      <rPr>
        <sz val="10"/>
        <color theme="1"/>
        <rFont val="Arial"/>
        <family val="2"/>
      </rPr>
      <t>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N</t>
    </r>
  </si>
  <si>
    <r>
      <t>500 cm</t>
    </r>
    <r>
      <rPr>
        <vertAlign val="super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 xml:space="preserve"> mol</t>
    </r>
    <r>
      <rPr>
        <vertAlign val="superscript"/>
        <sz val="10"/>
        <color theme="1"/>
        <rFont val="Arial"/>
        <family val="2"/>
      </rPr>
      <t>-1</t>
    </r>
    <r>
      <rPr>
        <sz val="10"/>
        <color theme="1"/>
        <rFont val="Arial"/>
        <family val="2"/>
      </rPr>
      <t xml:space="preserve"> C</t>
    </r>
    <r>
      <rPr>
        <vertAlign val="subscript"/>
        <sz val="10"/>
        <color theme="1"/>
        <rFont val="Arial"/>
        <family val="2"/>
      </rPr>
      <t>5</t>
    </r>
    <r>
      <rPr>
        <sz val="10"/>
        <color theme="1"/>
        <rFont val="Arial"/>
        <family val="2"/>
      </rPr>
      <t>H</t>
    </r>
    <r>
      <rPr>
        <vertAlign val="subscript"/>
        <sz val="10"/>
        <color theme="1"/>
        <rFont val="Arial"/>
        <family val="2"/>
      </rPr>
      <t>7</t>
    </r>
    <r>
      <rPr>
        <sz val="10"/>
        <color theme="1"/>
        <rFont val="Arial"/>
        <family val="2"/>
      </rPr>
      <t>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N</t>
    </r>
  </si>
  <si>
    <t>cell/l</t>
  </si>
  <si>
    <t>initial biomass</t>
  </si>
  <si>
    <t>m3/m3</t>
  </si>
  <si>
    <t>cell/m3</t>
  </si>
  <si>
    <t>mol m-3 s-1</t>
  </si>
  <si>
    <t>m3/L-1</t>
  </si>
  <si>
    <t>mol L-1 s-1</t>
  </si>
  <si>
    <t>m3 cells/m3 bulk</t>
  </si>
  <si>
    <t>cells L-1</t>
  </si>
  <si>
    <t>s-1</t>
  </si>
  <si>
    <t>mol l-1</t>
  </si>
  <si>
    <t>x cell mol-1</t>
  </si>
  <si>
    <t>x mol cell-1</t>
  </si>
  <si>
    <t>cm3/L</t>
  </si>
  <si>
    <t>Decay parameter of biomass</t>
  </si>
  <si>
    <t>In the paper:</t>
  </si>
  <si>
    <t>day^-1</t>
  </si>
  <si>
    <t>In MIN3P</t>
  </si>
  <si>
    <t>Porosity</t>
  </si>
  <si>
    <t>s^-1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</si>
</sst>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E+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Wingdings"/>
      <charset val="2"/>
    </font>
    <font>
      <vertAlign val="superscript"/>
      <sz val="10"/>
      <color theme="1"/>
      <name val="Arial"/>
      <family val="2"/>
    </font>
    <font>
      <vertAlign val="subscript"/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11" fontId="0" fillId="0" borderId="0" xfId="0" applyNumberFormat="1"/>
    <xf numFmtId="11" fontId="3" fillId="0" borderId="4" xfId="0" applyNumberFormat="1" applyFont="1" applyBorder="1" applyAlignment="1">
      <alignment vertical="center"/>
    </xf>
    <xf numFmtId="9" fontId="0" fillId="0" borderId="0" xfId="1" applyFont="1"/>
    <xf numFmtId="164" fontId="0" fillId="0" borderId="0" xfId="0" applyNumberFormat="1"/>
    <xf numFmtId="11" fontId="0" fillId="2" borderId="0" xfId="0" applyNumberFormat="1" applyFill="1"/>
    <xf numFmtId="0" fontId="0" fillId="2" borderId="0" xfId="0" applyFill="1"/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11" fontId="3" fillId="0" borderId="7" xfId="0" applyNumberFormat="1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4"/>
  <sheetViews>
    <sheetView tabSelected="1" topLeftCell="A4" workbookViewId="0">
      <selection activeCell="H24" sqref="H24"/>
    </sheetView>
  </sheetViews>
  <sheetFormatPr defaultRowHeight="15" x14ac:dyDescent="0.25"/>
  <cols>
    <col min="2" max="2" width="27.42578125" customWidth="1"/>
    <col min="3" max="3" width="22.28515625" customWidth="1"/>
    <col min="6" max="6" width="12" customWidth="1"/>
    <col min="7" max="7" width="16.42578125" customWidth="1"/>
    <col min="8" max="8" width="18.7109375" customWidth="1"/>
    <col min="9" max="9" width="21" customWidth="1"/>
  </cols>
  <sheetData>
    <row r="2" spans="1:13" ht="15.75" thickBot="1" x14ac:dyDescent="0.3">
      <c r="D2">
        <f>1000000000000000000</f>
        <v>1E+18</v>
      </c>
      <c r="E2" s="10">
        <v>1E-3</v>
      </c>
    </row>
    <row r="3" spans="1:13" ht="26.25" thickBot="1" x14ac:dyDescent="0.3">
      <c r="A3" s="1" t="s">
        <v>0</v>
      </c>
      <c r="B3" s="2" t="s">
        <v>1</v>
      </c>
      <c r="C3" s="2"/>
      <c r="D3" t="s">
        <v>28</v>
      </c>
      <c r="E3" t="s">
        <v>30</v>
      </c>
      <c r="F3" t="s">
        <v>32</v>
      </c>
      <c r="H3" s="6" t="s">
        <v>15</v>
      </c>
      <c r="I3" s="7" t="s">
        <v>16</v>
      </c>
      <c r="J3" s="7"/>
      <c r="L3" t="s">
        <v>25</v>
      </c>
    </row>
    <row r="4" spans="1:13" ht="39" thickBot="1" x14ac:dyDescent="0.3">
      <c r="A4" s="3"/>
      <c r="B4" s="4"/>
      <c r="C4" s="4" t="s">
        <v>14</v>
      </c>
      <c r="D4" t="s">
        <v>29</v>
      </c>
      <c r="E4" t="s">
        <v>31</v>
      </c>
      <c r="F4" t="s">
        <v>31</v>
      </c>
      <c r="G4" t="s">
        <v>34</v>
      </c>
      <c r="H4" s="3" t="s">
        <v>17</v>
      </c>
      <c r="I4" s="8" t="s">
        <v>18</v>
      </c>
      <c r="J4" s="8"/>
    </row>
    <row r="5" spans="1:13" ht="30.75" thickBot="1" x14ac:dyDescent="0.3">
      <c r="A5" s="16">
        <v>1</v>
      </c>
      <c r="B5" s="5" t="s">
        <v>2</v>
      </c>
      <c r="C5" s="18">
        <v>7.9999999999999996E-20</v>
      </c>
      <c r="D5" s="10">
        <f>C5*$D$2</f>
        <v>0.08</v>
      </c>
      <c r="E5" s="10">
        <f>D5*$E$2</f>
        <v>8.0000000000000007E-5</v>
      </c>
      <c r="F5" s="10">
        <f>E5*$I$10</f>
        <v>4.0000000000000002E-9</v>
      </c>
      <c r="G5" s="10">
        <f>F5/$L$13</f>
        <v>4.0000000000000003E-5</v>
      </c>
      <c r="H5" s="3" t="s">
        <v>19</v>
      </c>
      <c r="I5" s="8" t="s">
        <v>20</v>
      </c>
      <c r="J5" s="8"/>
      <c r="L5" s="10">
        <f>F5/C5</f>
        <v>50000000000.000008</v>
      </c>
    </row>
    <row r="6" spans="1:13" ht="29.25" thickBot="1" x14ac:dyDescent="0.3">
      <c r="A6" s="17"/>
      <c r="B6" s="4" t="s">
        <v>3</v>
      </c>
      <c r="C6" s="19"/>
      <c r="H6" s="3" t="s">
        <v>21</v>
      </c>
      <c r="I6" s="8" t="s">
        <v>22</v>
      </c>
      <c r="J6" s="8"/>
    </row>
    <row r="7" spans="1:13" ht="29.25" thickBot="1" x14ac:dyDescent="0.3">
      <c r="A7" s="16">
        <v>2</v>
      </c>
      <c r="B7" s="5" t="s">
        <v>2</v>
      </c>
      <c r="C7" s="18">
        <v>3.9999999999999998E-20</v>
      </c>
      <c r="D7" s="10">
        <f>C7*$D$2</f>
        <v>0.04</v>
      </c>
      <c r="E7" s="10">
        <f>D7*$E$2</f>
        <v>4.0000000000000003E-5</v>
      </c>
      <c r="F7" s="10">
        <f>E7*$I$10</f>
        <v>2.0000000000000001E-9</v>
      </c>
      <c r="G7" s="10">
        <f>F7/$L$13</f>
        <v>2.0000000000000002E-5</v>
      </c>
      <c r="H7" s="3" t="s">
        <v>23</v>
      </c>
      <c r="I7" s="8" t="s">
        <v>24</v>
      </c>
      <c r="J7" s="8"/>
    </row>
    <row r="8" spans="1:13" ht="15.75" thickBot="1" x14ac:dyDescent="0.3">
      <c r="A8" s="17"/>
      <c r="B8" s="4" t="s">
        <v>4</v>
      </c>
      <c r="C8" s="19"/>
    </row>
    <row r="9" spans="1:13" x14ac:dyDescent="0.25">
      <c r="A9" s="16">
        <v>3</v>
      </c>
      <c r="B9" s="5" t="s">
        <v>5</v>
      </c>
      <c r="C9" s="20"/>
      <c r="G9" s="12"/>
    </row>
    <row r="10" spans="1:13" ht="16.5" thickBot="1" x14ac:dyDescent="0.3">
      <c r="A10" s="17"/>
      <c r="B10" s="4" t="s">
        <v>6</v>
      </c>
      <c r="C10" s="19"/>
      <c r="H10" s="9" t="s">
        <v>26</v>
      </c>
      <c r="I10" s="10">
        <v>5.0000000000000002E-5</v>
      </c>
      <c r="J10" t="s">
        <v>27</v>
      </c>
      <c r="L10" s="10">
        <v>2.0000000000000002E-15</v>
      </c>
    </row>
    <row r="11" spans="1:13" x14ac:dyDescent="0.25">
      <c r="A11" s="16">
        <v>4</v>
      </c>
      <c r="B11" s="5" t="s">
        <v>7</v>
      </c>
      <c r="C11" s="20"/>
      <c r="K11" t="s">
        <v>36</v>
      </c>
      <c r="L11" t="s">
        <v>37</v>
      </c>
    </row>
    <row r="12" spans="1:13" ht="15.75" thickBot="1" x14ac:dyDescent="0.3">
      <c r="A12" s="17"/>
      <c r="B12" s="4" t="s">
        <v>8</v>
      </c>
      <c r="C12" s="19"/>
      <c r="H12" t="s">
        <v>14</v>
      </c>
      <c r="I12" t="s">
        <v>33</v>
      </c>
      <c r="K12" t="s">
        <v>34</v>
      </c>
      <c r="L12" s="15" t="s">
        <v>35</v>
      </c>
    </row>
    <row r="13" spans="1:13" x14ac:dyDescent="0.25">
      <c r="A13" s="16">
        <v>5</v>
      </c>
      <c r="B13" s="5" t="s">
        <v>9</v>
      </c>
      <c r="C13" s="18">
        <v>7.9999999999999996E-20</v>
      </c>
      <c r="D13" s="10">
        <f>C13*$D$2</f>
        <v>0.08</v>
      </c>
      <c r="E13" s="10">
        <f>D13*$E$2</f>
        <v>8.0000000000000007E-5</v>
      </c>
      <c r="F13" s="10">
        <f>E13*$I$10</f>
        <v>4.0000000000000002E-9</v>
      </c>
      <c r="G13" s="10">
        <f>F13/$L$13</f>
        <v>4.0000000000000003E-5</v>
      </c>
      <c r="H13" s="10">
        <v>7.9999999999999996E-20</v>
      </c>
      <c r="I13" s="10">
        <v>50000000000</v>
      </c>
      <c r="K13" s="10">
        <f>H13/L10</f>
        <v>3.9999999999999996E-5</v>
      </c>
      <c r="L13" s="14">
        <f>I13*L10</f>
        <v>1E-4</v>
      </c>
      <c r="M13" s="10">
        <f>K13*L13</f>
        <v>4.0000000000000002E-9</v>
      </c>
    </row>
    <row r="14" spans="1:13" ht="15.75" thickBot="1" x14ac:dyDescent="0.3">
      <c r="A14" s="17"/>
      <c r="B14" s="4" t="s">
        <v>3</v>
      </c>
      <c r="C14" s="19"/>
      <c r="L14" s="15" t="s">
        <v>26</v>
      </c>
    </row>
    <row r="15" spans="1:13" x14ac:dyDescent="0.25">
      <c r="A15" s="16">
        <v>6</v>
      </c>
      <c r="B15" s="5" t="s">
        <v>9</v>
      </c>
      <c r="C15" s="18">
        <v>3.9999999999999998E-20</v>
      </c>
      <c r="D15" s="10">
        <f>C15*$D$2</f>
        <v>0.04</v>
      </c>
      <c r="E15" s="10">
        <f>D15*$E$2</f>
        <v>4.0000000000000003E-5</v>
      </c>
      <c r="F15" s="10">
        <f>E15*$I$10</f>
        <v>2.0000000000000001E-9</v>
      </c>
      <c r="G15" s="10">
        <f>F15/$L$13</f>
        <v>2.0000000000000002E-5</v>
      </c>
      <c r="L15" t="s">
        <v>38</v>
      </c>
    </row>
    <row r="16" spans="1:13" ht="15.75" thickBot="1" x14ac:dyDescent="0.3">
      <c r="A16" s="17"/>
      <c r="B16" s="4" t="s">
        <v>4</v>
      </c>
      <c r="C16" s="19"/>
      <c r="L16" s="10">
        <f>L13*500</f>
        <v>0.05</v>
      </c>
    </row>
    <row r="17" spans="1:12" x14ac:dyDescent="0.25">
      <c r="A17" s="16">
        <v>7</v>
      </c>
      <c r="B17" s="5" t="s">
        <v>9</v>
      </c>
      <c r="C17" s="18">
        <v>7.9999999999999993E-21</v>
      </c>
      <c r="D17" s="10">
        <f>C17*$D$2</f>
        <v>7.9999999999999984E-3</v>
      </c>
      <c r="E17" s="10">
        <f>D17*$E$2</f>
        <v>7.9999999999999979E-6</v>
      </c>
      <c r="F17" s="10">
        <f>E17*$I$10</f>
        <v>3.9999999999999991E-10</v>
      </c>
      <c r="G17" s="10">
        <f>F17/$L$13</f>
        <v>3.999999999999999E-6</v>
      </c>
      <c r="L17" s="10">
        <f>L16/1000</f>
        <v>5.0000000000000002E-5</v>
      </c>
    </row>
    <row r="18" spans="1:12" x14ac:dyDescent="0.25">
      <c r="A18" s="21"/>
      <c r="B18" s="5" t="s">
        <v>10</v>
      </c>
      <c r="C18" s="22"/>
    </row>
    <row r="19" spans="1:12" ht="15.75" thickBot="1" x14ac:dyDescent="0.3">
      <c r="A19" s="17"/>
      <c r="B19" s="4" t="s">
        <v>3</v>
      </c>
      <c r="C19" s="19"/>
    </row>
    <row r="20" spans="1:12" x14ac:dyDescent="0.25">
      <c r="A20" s="16">
        <v>8</v>
      </c>
      <c r="B20" s="5" t="s">
        <v>9</v>
      </c>
      <c r="C20" s="18">
        <v>3.9999999999999996E-21</v>
      </c>
      <c r="D20" s="10">
        <f>C20*$D$2</f>
        <v>3.9999999999999992E-3</v>
      </c>
      <c r="E20" s="10">
        <f>D20*$E$2</f>
        <v>3.999999999999999E-6</v>
      </c>
      <c r="F20" s="10">
        <f>E20*$I$10</f>
        <v>1.9999999999999996E-10</v>
      </c>
      <c r="G20" s="10">
        <f>F20/$L$13</f>
        <v>1.9999999999999995E-6</v>
      </c>
    </row>
    <row r="21" spans="1:12" x14ac:dyDescent="0.25">
      <c r="A21" s="21"/>
      <c r="B21" s="5" t="s">
        <v>11</v>
      </c>
      <c r="C21" s="22"/>
    </row>
    <row r="22" spans="1:12" ht="15.75" thickBot="1" x14ac:dyDescent="0.3">
      <c r="A22" s="17"/>
      <c r="B22" s="4" t="s">
        <v>4</v>
      </c>
      <c r="C22" s="19"/>
    </row>
    <row r="23" spans="1:12" ht="15.75" thickBot="1" x14ac:dyDescent="0.3">
      <c r="A23" s="3">
        <v>9</v>
      </c>
      <c r="B23" s="4" t="s">
        <v>12</v>
      </c>
      <c r="C23" s="11">
        <v>9.513E-23</v>
      </c>
      <c r="D23" s="10">
        <f>C23*$D$2</f>
        <v>9.5130000000000006E-5</v>
      </c>
      <c r="E23" s="10">
        <f>D23*$E$2</f>
        <v>9.5130000000000005E-8</v>
      </c>
      <c r="F23" s="13">
        <f>E23*$I$10</f>
        <v>4.7565000000000006E-12</v>
      </c>
      <c r="G23" s="10">
        <f>F23/$L$13</f>
        <v>4.7565000000000003E-8</v>
      </c>
    </row>
    <row r="24" spans="1:12" ht="15.75" thickBot="1" x14ac:dyDescent="0.3">
      <c r="A24" s="3">
        <v>10</v>
      </c>
      <c r="B24" s="4" t="s">
        <v>13</v>
      </c>
      <c r="C24" s="11">
        <v>3.1709999999999998E-23</v>
      </c>
      <c r="D24" s="10">
        <f>C24*$D$2</f>
        <v>3.171E-5</v>
      </c>
      <c r="E24" s="10">
        <f>D24*$E$2</f>
        <v>3.1709999999999997E-8</v>
      </c>
      <c r="F24" s="13">
        <f>E24*$I$10</f>
        <v>1.5854999999999999E-12</v>
      </c>
      <c r="G24" s="10">
        <f>F24/$L$13</f>
        <v>1.5854999999999999E-8</v>
      </c>
    </row>
  </sheetData>
  <mergeCells count="16">
    <mergeCell ref="A17:A19"/>
    <mergeCell ref="C17:C19"/>
    <mergeCell ref="A20:A22"/>
    <mergeCell ref="C20:C22"/>
    <mergeCell ref="A11:A12"/>
    <mergeCell ref="C11:C12"/>
    <mergeCell ref="A13:A14"/>
    <mergeCell ref="C13:C14"/>
    <mergeCell ref="A15:A16"/>
    <mergeCell ref="C15:C16"/>
    <mergeCell ref="A5:A6"/>
    <mergeCell ref="C5:C6"/>
    <mergeCell ref="A7:A8"/>
    <mergeCell ref="C7:C8"/>
    <mergeCell ref="A9:A10"/>
    <mergeCell ref="C9:C10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K5"/>
  <sheetViews>
    <sheetView workbookViewId="0">
      <selection activeCell="G9" sqref="G9"/>
    </sheetView>
  </sheetViews>
  <sheetFormatPr defaultRowHeight="15" x14ac:dyDescent="0.25"/>
  <cols>
    <col min="6" max="6" width="9.5703125" bestFit="1" customWidth="1"/>
  </cols>
  <sheetData>
    <row r="3" spans="3:11" x14ac:dyDescent="0.25">
      <c r="C3" t="s">
        <v>39</v>
      </c>
      <c r="J3" t="s">
        <v>43</v>
      </c>
      <c r="K3">
        <v>0.4</v>
      </c>
    </row>
    <row r="4" spans="3:11" x14ac:dyDescent="0.25">
      <c r="D4" t="s">
        <v>40</v>
      </c>
      <c r="F4">
        <v>4.3200000000000001E-3</v>
      </c>
      <c r="G4" t="s">
        <v>41</v>
      </c>
    </row>
    <row r="5" spans="3:11" x14ac:dyDescent="0.25">
      <c r="D5" t="s">
        <v>42</v>
      </c>
      <c r="F5" s="10">
        <f>F4/(24*60*60)/K3</f>
        <v>1.2499999999999999E-7</v>
      </c>
      <c r="G5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umayer</dc:creator>
  <cp:lastModifiedBy>Mingliang Xie</cp:lastModifiedBy>
  <dcterms:created xsi:type="dcterms:W3CDTF">2012-11-24T17:08:52Z</dcterms:created>
  <dcterms:modified xsi:type="dcterms:W3CDTF">2015-02-27T23:38:21Z</dcterms:modified>
</cp:coreProperties>
</file>