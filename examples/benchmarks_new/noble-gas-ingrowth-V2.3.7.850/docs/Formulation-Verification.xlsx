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/Users/danyangsu/Data/Dropbox/ParallelDevelop/ProjectDoc/nwmo-noble-gas/"/>
    </mc:Choice>
  </mc:AlternateContent>
  <xr:revisionPtr revIDLastSave="0" documentId="13_ncr:1_{570686D8-1870-2C47-80BD-7367B8BD71DD}" xr6:coauthVersionLast="47" xr6:coauthVersionMax="47" xr10:uidLastSave="{00000000-0000-0000-0000-000000000000}"/>
  <bookViews>
    <workbookView xWindow="0" yWindow="500" windowWidth="23900" windowHeight="19900" tabRatio="99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10" i="1" l="1"/>
  <c r="H22" i="1"/>
  <c r="G22" i="1"/>
  <c r="F22" i="1"/>
  <c r="D22" i="1"/>
  <c r="C22" i="1"/>
  <c r="B22" i="1"/>
  <c r="B23" i="1" l="1"/>
  <c r="F23" i="1"/>
  <c r="C9" i="1"/>
  <c r="D9" i="1"/>
  <c r="B9" i="1"/>
  <c r="D10" i="1"/>
  <c r="C10" i="1"/>
</calcChain>
</file>

<file path=xl/sharedStrings.xml><?xml version="1.0" encoding="utf-8"?>
<sst xmlns="http://schemas.openxmlformats.org/spreadsheetml/2006/main" count="30" uniqueCount="15">
  <si>
    <t>U238</t>
  </si>
  <si>
    <t>U235</t>
  </si>
  <si>
    <t>Th232</t>
  </si>
  <si>
    <t>Xr</t>
  </si>
  <si>
    <t>[R]</t>
  </si>
  <si>
    <t>Na</t>
  </si>
  <si>
    <t>Ar</t>
  </si>
  <si>
    <t>yield</t>
  </si>
  <si>
    <t>lamda</t>
  </si>
  <si>
    <t>t</t>
  </si>
  <si>
    <t>Rate [g-1 yr-1] - eq 12</t>
  </si>
  <si>
    <t>Rate [g-1 yr-1] - new</t>
  </si>
  <si>
    <t>Variable</t>
  </si>
  <si>
    <t>Earth crust</t>
  </si>
  <si>
    <t>Sum of rate g-1 yr-1]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</si>
</sst>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E+00"/>
    <numFmt numFmtId="165" formatCode="0.000E+00"/>
  </numFmts>
  <fonts count="2" x14ac:knownFonts="1"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Normal="100" workbookViewId="0">
      <selection activeCell="B11" sqref="B11"/>
    </sheetView>
  </sheetViews>
  <sheetFormatPr baseColWidth="10" defaultColWidth="8.83203125" defaultRowHeight="13" x14ac:dyDescent="0.15"/>
  <cols>
    <col min="1" max="1" width="21.6640625" customWidth="1"/>
    <col min="2" max="2" width="15.6640625"/>
    <col min="3" max="3" width="14.33203125"/>
    <col min="4" max="4" width="16.1640625"/>
    <col min="5" max="1025" width="11.5"/>
  </cols>
  <sheetData>
    <row r="1" spans="1:8" x14ac:dyDescent="0.15">
      <c r="A1" t="s">
        <v>12</v>
      </c>
      <c r="B1" t="s">
        <v>0</v>
      </c>
      <c r="C1" t="s">
        <v>1</v>
      </c>
      <c r="D1" t="s">
        <v>2</v>
      </c>
    </row>
    <row r="2" spans="1:8" x14ac:dyDescent="0.15">
      <c r="A2" t="s">
        <v>3</v>
      </c>
      <c r="B2">
        <v>0.99280000000000002</v>
      </c>
      <c r="C2">
        <v>7.1999999999999998E-3</v>
      </c>
      <c r="D2">
        <v>1</v>
      </c>
    </row>
    <row r="3" spans="1:8" x14ac:dyDescent="0.15">
      <c r="A3" t="s">
        <v>4</v>
      </c>
      <c r="B3" s="1">
        <v>1</v>
      </c>
      <c r="C3" s="1">
        <v>1</v>
      </c>
      <c r="D3">
        <v>1</v>
      </c>
    </row>
    <row r="4" spans="1:8" x14ac:dyDescent="0.15">
      <c r="A4" t="s">
        <v>5</v>
      </c>
      <c r="B4" s="1">
        <v>6.0229999999999998E+23</v>
      </c>
      <c r="C4" s="1">
        <v>6.0229999999999998E+23</v>
      </c>
      <c r="D4" s="1">
        <v>6.0229999999999998E+23</v>
      </c>
    </row>
    <row r="5" spans="1:8" x14ac:dyDescent="0.15">
      <c r="A5" t="s">
        <v>6</v>
      </c>
      <c r="B5" s="3">
        <v>238.05099999999999</v>
      </c>
      <c r="C5">
        <v>235.04400000000001</v>
      </c>
      <c r="D5">
        <v>232.03800000000001</v>
      </c>
    </row>
    <row r="6" spans="1:8" x14ac:dyDescent="0.15">
      <c r="A6" t="s">
        <v>7</v>
      </c>
      <c r="B6">
        <v>8</v>
      </c>
      <c r="C6">
        <v>7</v>
      </c>
      <c r="D6">
        <v>6</v>
      </c>
    </row>
    <row r="7" spans="1:8" x14ac:dyDescent="0.15">
      <c r="A7" t="s">
        <v>8</v>
      </c>
      <c r="B7" s="1">
        <v>1.5500000000000001E-10</v>
      </c>
      <c r="C7" s="1">
        <v>9.8500000000000001E-10</v>
      </c>
      <c r="D7" s="1">
        <v>4.9499999999999997E-11</v>
      </c>
    </row>
    <row r="8" spans="1:8" x14ac:dyDescent="0.15">
      <c r="A8" t="s">
        <v>9</v>
      </c>
      <c r="B8">
        <v>2</v>
      </c>
      <c r="C8">
        <v>2</v>
      </c>
      <c r="D8">
        <v>2</v>
      </c>
    </row>
    <row r="9" spans="1:8" x14ac:dyDescent="0.15">
      <c r="A9" t="s">
        <v>10</v>
      </c>
      <c r="B9" s="4">
        <f>B2*B3*B4/B5*0.000001*(EXP(B7*B8)-1)*B6</f>
        <v>6229545.1558690276</v>
      </c>
      <c r="C9" s="4">
        <f t="shared" ref="C9:D9" si="0">C2*C3*C4/C5*0.000001*(EXP(C7*C8)-1)*C6</f>
        <v>254425.38676844374</v>
      </c>
      <c r="D9" s="4">
        <f t="shared" si="0"/>
        <v>1541841.8906894166</v>
      </c>
    </row>
    <row r="10" spans="1:8" x14ac:dyDescent="0.15">
      <c r="A10" t="s">
        <v>11</v>
      </c>
      <c r="B10" s="4">
        <f>B2*B3*B4/B5*0.000001*(EXP(B7*B8)-1)*B6/B8</f>
        <v>3114772.5779345138</v>
      </c>
      <c r="C10" s="4">
        <f>C2*C3*C4/C5*0.000001*(EXP(C7*C8)-1)*C6/C8</f>
        <v>127212.69338422187</v>
      </c>
      <c r="D10" s="4">
        <f>D2*D3*D4/D5*0.000001*(EXP(D7*D8)-1)*D6/D8</f>
        <v>770920.94534470828</v>
      </c>
    </row>
    <row r="13" spans="1:8" x14ac:dyDescent="0.15">
      <c r="A13" t="s">
        <v>13</v>
      </c>
      <c r="B13" s="2"/>
      <c r="C13" s="2"/>
      <c r="D13" s="2"/>
    </row>
    <row r="14" spans="1:8" x14ac:dyDescent="0.15">
      <c r="A14" t="s">
        <v>12</v>
      </c>
      <c r="B14" t="s">
        <v>0</v>
      </c>
      <c r="C14" t="s">
        <v>1</v>
      </c>
      <c r="D14" t="s">
        <v>2</v>
      </c>
      <c r="F14" t="s">
        <v>0</v>
      </c>
      <c r="G14" t="s">
        <v>1</v>
      </c>
      <c r="H14" t="s">
        <v>2</v>
      </c>
    </row>
    <row r="15" spans="1:8" x14ac:dyDescent="0.15">
      <c r="A15" t="s">
        <v>3</v>
      </c>
      <c r="B15">
        <v>0.99280000000000002</v>
      </c>
      <c r="C15">
        <v>7.1999999999999998E-3</v>
      </c>
      <c r="D15">
        <v>1</v>
      </c>
      <c r="F15">
        <v>0.99280000000000002</v>
      </c>
      <c r="G15">
        <v>7.1999999999999998E-3</v>
      </c>
      <c r="H15">
        <v>1</v>
      </c>
    </row>
    <row r="16" spans="1:8" x14ac:dyDescent="0.15">
      <c r="A16" t="s">
        <v>4</v>
      </c>
      <c r="B16" s="1">
        <v>2</v>
      </c>
      <c r="C16" s="1">
        <v>2</v>
      </c>
      <c r="D16">
        <v>8.1</v>
      </c>
      <c r="F16" s="1">
        <v>4</v>
      </c>
      <c r="G16" s="1">
        <v>4</v>
      </c>
      <c r="H16">
        <v>8.1</v>
      </c>
    </row>
    <row r="17" spans="1:8" x14ac:dyDescent="0.15">
      <c r="A17" t="s">
        <v>5</v>
      </c>
      <c r="B17" s="1">
        <v>6.0229999999999998E+23</v>
      </c>
      <c r="C17" s="1">
        <v>6.0229999999999998E+23</v>
      </c>
      <c r="D17" s="1">
        <v>6.0229999999999998E+23</v>
      </c>
      <c r="F17" s="1">
        <v>6.0229999999999998E+23</v>
      </c>
      <c r="G17" s="1">
        <v>6.0229999999999998E+23</v>
      </c>
      <c r="H17" s="1">
        <v>6.0229999999999998E+23</v>
      </c>
    </row>
    <row r="18" spans="1:8" x14ac:dyDescent="0.15">
      <c r="A18" t="s">
        <v>6</v>
      </c>
      <c r="B18" s="3">
        <v>238.05099999999999</v>
      </c>
      <c r="C18">
        <v>235.04400000000001</v>
      </c>
      <c r="D18">
        <v>232.03800000000001</v>
      </c>
      <c r="F18" s="3">
        <v>238.05099999999999</v>
      </c>
      <c r="G18">
        <v>235.04400000000001</v>
      </c>
      <c r="H18">
        <v>232.03800000000001</v>
      </c>
    </row>
    <row r="19" spans="1:8" x14ac:dyDescent="0.15">
      <c r="A19" t="s">
        <v>7</v>
      </c>
      <c r="B19">
        <v>8</v>
      </c>
      <c r="C19">
        <v>7</v>
      </c>
      <c r="D19">
        <v>6</v>
      </c>
      <c r="F19">
        <v>8</v>
      </c>
      <c r="G19">
        <v>7</v>
      </c>
      <c r="H19">
        <v>6</v>
      </c>
    </row>
    <row r="20" spans="1:8" x14ac:dyDescent="0.15">
      <c r="A20" t="s">
        <v>8</v>
      </c>
      <c r="B20" s="1">
        <v>1.5500000000000001E-10</v>
      </c>
      <c r="C20" s="1">
        <v>9.8500000000000001E-10</v>
      </c>
      <c r="D20" s="1">
        <v>4.9499999999999997E-11</v>
      </c>
      <c r="F20" s="1">
        <v>1.5500000000000001E-10</v>
      </c>
      <c r="G20" s="1">
        <v>9.8500000000000001E-10</v>
      </c>
      <c r="H20" s="1">
        <v>4.9499999999999997E-11</v>
      </c>
    </row>
    <row r="21" spans="1:8" x14ac:dyDescent="0.15">
      <c r="A21" t="s">
        <v>9</v>
      </c>
      <c r="B21">
        <v>2</v>
      </c>
      <c r="C21">
        <v>2</v>
      </c>
      <c r="D21">
        <v>2</v>
      </c>
      <c r="F21">
        <v>2</v>
      </c>
      <c r="G21">
        <v>2</v>
      </c>
      <c r="H21">
        <v>2</v>
      </c>
    </row>
    <row r="22" spans="1:8" x14ac:dyDescent="0.15">
      <c r="A22" t="s">
        <v>11</v>
      </c>
      <c r="B22" s="4">
        <f>B15*B16*B17/B18*0.000001*(EXP(B20*B21)-1)*B19/B21</f>
        <v>6229545.1558690276</v>
      </c>
      <c r="C22" s="4">
        <f>C15*C16*C17/C18*0.000001*(EXP(C20*C21)-1)*C19/C21</f>
        <v>254425.38676844374</v>
      </c>
      <c r="D22" s="4">
        <f>D15*D16*D17/D18*0.000001*(EXP(D20*D21)-1)*D19/D21</f>
        <v>6244459.6572921369</v>
      </c>
      <c r="F22" s="4">
        <f>F15*F16*F17/F18*0.000001*(EXP(F20*F21)-1)*F19/F21</f>
        <v>12459090.311738055</v>
      </c>
      <c r="G22" s="4">
        <f>G15*G16*G17/G18*0.000001*(EXP(G20*G21)-1)*G19/G21</f>
        <v>508850.77353688749</v>
      </c>
      <c r="H22" s="4">
        <f>H15*H16*H17/H18*0.000001*(EXP(H20*H21)-1)*H19/H21</f>
        <v>6244459.6572921369</v>
      </c>
    </row>
    <row r="23" spans="1:8" x14ac:dyDescent="0.15">
      <c r="A23" t="s">
        <v>14</v>
      </c>
      <c r="B23" s="4">
        <f>B22+C22+D22</f>
        <v>12728430.199929608</v>
      </c>
      <c r="F23" s="4">
        <f>F22+G22+H22</f>
        <v>19212400.742567077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1</cp:revision>
  <dcterms:created xsi:type="dcterms:W3CDTF">2022-05-19T11:44:38Z</dcterms:created>
  <dcterms:modified xsi:type="dcterms:W3CDTF">2022-05-26T21:00:32Z</dcterms:modified>
  <dc:language>en-CA</dc:language>
</cp:coreProperties>
</file>