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4295" windowHeight="2295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Sheet1!$I$12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Sheet1!$N$12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0</definedName>
  </definedNames>
  <calcPr calcId="125725"/>
</workbook>
</file>

<file path=xl/calcChain.xml><?xml version="1.0" encoding="utf-8"?>
<calcChain xmlns="http://schemas.openxmlformats.org/spreadsheetml/2006/main">
  <c r="J16" i="1"/>
  <c r="K15"/>
  <c r="K14"/>
  <c r="J5"/>
  <c r="L5" s="1"/>
  <c r="K5" s="1"/>
  <c r="M5" s="1"/>
  <c r="N5" s="1"/>
  <c r="J6"/>
  <c r="L6" s="1"/>
  <c r="K6" s="1"/>
  <c r="M6" s="1"/>
  <c r="N6" s="1"/>
  <c r="J7"/>
  <c r="L7" s="1"/>
  <c r="K7" s="1"/>
  <c r="M7" s="1"/>
  <c r="N7" s="1"/>
  <c r="J8"/>
  <c r="L8" s="1"/>
  <c r="K8" s="1"/>
  <c r="M8" s="1"/>
  <c r="N8" s="1"/>
  <c r="J9"/>
  <c r="L9" s="1"/>
  <c r="K9" s="1"/>
  <c r="M9" s="1"/>
  <c r="N9" s="1"/>
  <c r="J10"/>
  <c r="L10" s="1"/>
  <c r="K10" s="1"/>
  <c r="M10" s="1"/>
  <c r="N10" s="1"/>
  <c r="J11"/>
  <c r="L11" s="1"/>
  <c r="K11" s="1"/>
  <c r="M11" s="1"/>
  <c r="N11" s="1"/>
  <c r="J12"/>
  <c r="L12" s="1"/>
  <c r="K12" s="1"/>
  <c r="M12" s="1"/>
  <c r="N12" s="1"/>
  <c r="J4"/>
  <c r="L4" s="1"/>
  <c r="K4" s="1"/>
  <c r="M4" s="1"/>
  <c r="N4" s="1"/>
  <c r="E4"/>
  <c r="E5"/>
  <c r="E6"/>
  <c r="E7"/>
  <c r="E8"/>
  <c r="E9"/>
  <c r="E10"/>
  <c r="E11"/>
  <c r="E3"/>
</calcChain>
</file>

<file path=xl/sharedStrings.xml><?xml version="1.0" encoding="utf-8"?>
<sst xmlns="http://schemas.openxmlformats.org/spreadsheetml/2006/main" count="20" uniqueCount="13">
  <si>
    <t>Initial</t>
  </si>
  <si>
    <t>Feed 1</t>
  </si>
  <si>
    <t>SO4</t>
  </si>
  <si>
    <t>Total</t>
  </si>
  <si>
    <t>34SO4</t>
  </si>
  <si>
    <t>GFW</t>
  </si>
  <si>
    <t>CO3</t>
  </si>
  <si>
    <t>12CO3</t>
  </si>
  <si>
    <t>13CO3</t>
  </si>
  <si>
    <t>mg</t>
  </si>
  <si>
    <t>mmol</t>
  </si>
  <si>
    <t>mineral</t>
  </si>
  <si>
    <t>calcite</t>
  </si>
</sst>
</file>

<file path=xl/styles.xml><?xml version="1.0" encoding="utf-8"?>
<styleSheet xmlns="http://schemas.openxmlformats.org/spreadsheetml/2006/main">
  <numFmts count="3">
    <numFmt numFmtId="164" formatCode="0.000000E+00"/>
    <numFmt numFmtId="165" formatCode="0.00000"/>
    <numFmt numFmtId="166" formatCode="0.0000000E+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>
      <selection activeCell="J16" sqref="J16"/>
    </sheetView>
  </sheetViews>
  <sheetFormatPr defaultRowHeight="15"/>
  <cols>
    <col min="9" max="9" width="10.5703125" bestFit="1" customWidth="1"/>
    <col min="10" max="11" width="13.42578125" bestFit="1" customWidth="1"/>
    <col min="13" max="13" width="12.5703125" bestFit="1" customWidth="1"/>
    <col min="14" max="15" width="13.42578125" bestFit="1" customWidth="1"/>
  </cols>
  <sheetData>
    <row r="1" spans="1:15">
      <c r="A1" t="s">
        <v>5</v>
      </c>
      <c r="C1">
        <v>95.951729999999998</v>
      </c>
      <c r="D1">
        <v>97.94753</v>
      </c>
      <c r="G1" t="s">
        <v>5</v>
      </c>
      <c r="I1">
        <v>60.009399999999999</v>
      </c>
      <c r="K1">
        <v>61.001550000000002</v>
      </c>
      <c r="N1" s="4">
        <v>1.112372E-2</v>
      </c>
      <c r="O1" s="4">
        <v>1.112372E-2</v>
      </c>
    </row>
    <row r="2" spans="1:15">
      <c r="B2" t="s">
        <v>2</v>
      </c>
      <c r="C2" t="s">
        <v>2</v>
      </c>
      <c r="D2" t="s">
        <v>4</v>
      </c>
      <c r="E2" t="s">
        <v>3</v>
      </c>
      <c r="H2" t="s">
        <v>6</v>
      </c>
      <c r="I2" s="5" t="s">
        <v>7</v>
      </c>
      <c r="J2" s="5"/>
      <c r="K2" s="5" t="s">
        <v>8</v>
      </c>
      <c r="L2" s="5"/>
      <c r="M2" t="s">
        <v>3</v>
      </c>
    </row>
    <row r="3" spans="1:15">
      <c r="A3" t="s">
        <v>0</v>
      </c>
      <c r="B3">
        <v>1010</v>
      </c>
      <c r="C3">
        <v>965.31600000000003</v>
      </c>
      <c r="D3">
        <v>44.423000000000002</v>
      </c>
      <c r="E3">
        <f>C3+D3</f>
        <v>1009.739</v>
      </c>
      <c r="I3" t="s">
        <v>9</v>
      </c>
      <c r="J3" t="s">
        <v>10</v>
      </c>
      <c r="K3" t="s">
        <v>9</v>
      </c>
      <c r="L3" t="s">
        <v>10</v>
      </c>
    </row>
    <row r="4" spans="1:15">
      <c r="A4" t="s">
        <v>1</v>
      </c>
      <c r="B4">
        <v>3210</v>
      </c>
      <c r="C4">
        <v>3067.9859999999999</v>
      </c>
      <c r="D4">
        <v>141.18600000000001</v>
      </c>
      <c r="E4">
        <f t="shared" ref="E4:E11" si="0">C4+D4</f>
        <v>3209.172</v>
      </c>
      <c r="G4" t="s">
        <v>0</v>
      </c>
      <c r="H4">
        <v>22.4</v>
      </c>
      <c r="I4" s="3">
        <v>22.149540169242808</v>
      </c>
      <c r="J4">
        <f>I4/$I$1</f>
        <v>0.36910117696965489</v>
      </c>
      <c r="K4" s="3">
        <f>L4*$K$1</f>
        <v>0.25045883075725789</v>
      </c>
      <c r="L4" s="1">
        <f>J4*$N$1</f>
        <v>4.1057781442808894E-3</v>
      </c>
      <c r="M4" s="2">
        <f>K4+I4</f>
        <v>22.399999000000065</v>
      </c>
      <c r="N4" s="1">
        <f>H4-M4</f>
        <v>9.9999993352639649E-7</v>
      </c>
    </row>
    <row r="5" spans="1:15">
      <c r="A5">
        <v>2</v>
      </c>
      <c r="B5">
        <v>3894</v>
      </c>
      <c r="C5">
        <v>3721.7249999999999</v>
      </c>
      <c r="D5">
        <v>171.27099999999999</v>
      </c>
      <c r="E5">
        <f t="shared" si="0"/>
        <v>3892.9960000000001</v>
      </c>
      <c r="G5" t="s">
        <v>1</v>
      </c>
      <c r="H5">
        <v>88.62</v>
      </c>
      <c r="I5" s="3">
        <v>87.629121217762247</v>
      </c>
      <c r="J5">
        <f t="shared" ref="J5:J12" si="1">I5/$I$1</f>
        <v>1.4602565800984888</v>
      </c>
      <c r="K5" s="3">
        <f t="shared" ref="K5:K12" si="2">L5*$K$1</f>
        <v>0.99087778223781686</v>
      </c>
      <c r="L5" s="1">
        <f t="shared" ref="L5:L12" si="3">J5*$N$1</f>
        <v>1.6243485325173161E-2</v>
      </c>
      <c r="M5" s="2">
        <f t="shared" ref="M5:M12" si="4">K5+I5</f>
        <v>88.619999000000064</v>
      </c>
      <c r="N5" s="1">
        <f t="shared" ref="N5:N12" si="5">H5-M5</f>
        <v>9.9999994063182385E-7</v>
      </c>
    </row>
    <row r="6" spans="1:15">
      <c r="A6">
        <v>3</v>
      </c>
      <c r="B6">
        <v>3455</v>
      </c>
      <c r="C6">
        <v>3302.1039999999998</v>
      </c>
      <c r="D6">
        <v>152.006</v>
      </c>
      <c r="E6">
        <f t="shared" si="0"/>
        <v>3454.1099999999997</v>
      </c>
      <c r="G6">
        <v>2</v>
      </c>
      <c r="H6">
        <v>32.880000000000003</v>
      </c>
      <c r="I6" s="3">
        <v>32.512361211050198</v>
      </c>
      <c r="J6">
        <f t="shared" si="1"/>
        <v>0.54178780676111071</v>
      </c>
      <c r="K6" s="3">
        <f t="shared" si="2"/>
        <v>0.36763778894989269</v>
      </c>
      <c r="L6" s="1">
        <f t="shared" si="3"/>
        <v>6.0266958618247022E-3</v>
      </c>
      <c r="M6" s="2">
        <f t="shared" si="4"/>
        <v>32.87999900000009</v>
      </c>
      <c r="N6" s="1">
        <f t="shared" si="5"/>
        <v>9.9999991221011442E-7</v>
      </c>
    </row>
    <row r="7" spans="1:15">
      <c r="A7">
        <v>4</v>
      </c>
      <c r="B7">
        <v>3660</v>
      </c>
      <c r="C7">
        <v>3498.0770000000002</v>
      </c>
      <c r="D7">
        <v>160.97900000000001</v>
      </c>
      <c r="E7">
        <f t="shared" si="0"/>
        <v>3659.056</v>
      </c>
      <c r="G7">
        <v>3</v>
      </c>
      <c r="H7">
        <v>27</v>
      </c>
      <c r="I7" s="3">
        <v>26.698107645877712</v>
      </c>
      <c r="J7">
        <f t="shared" si="1"/>
        <v>0.44489875995890166</v>
      </c>
      <c r="K7" s="3">
        <f t="shared" si="2"/>
        <v>0.30189235412224497</v>
      </c>
      <c r="L7" s="1">
        <f t="shared" si="3"/>
        <v>4.9489292341300334E-3</v>
      </c>
      <c r="M7" s="2">
        <f t="shared" si="4"/>
        <v>26.999999999999957</v>
      </c>
      <c r="N7" s="1">
        <f t="shared" si="5"/>
        <v>4.2632564145606011E-14</v>
      </c>
    </row>
    <row r="8" spans="1:15">
      <c r="A8">
        <v>5</v>
      </c>
      <c r="B8">
        <v>2000</v>
      </c>
      <c r="C8">
        <v>1911.518</v>
      </c>
      <c r="D8">
        <v>87.966999999999999</v>
      </c>
      <c r="E8">
        <f t="shared" si="0"/>
        <v>1999.4850000000001</v>
      </c>
      <c r="G8">
        <v>4</v>
      </c>
      <c r="H8">
        <v>20.399999999999999</v>
      </c>
      <c r="I8" s="3">
        <v>20.171903554663004</v>
      </c>
      <c r="J8">
        <f t="shared" si="1"/>
        <v>0.33614572974672308</v>
      </c>
      <c r="K8" s="3">
        <f t="shared" si="2"/>
        <v>0.22809644533680554</v>
      </c>
      <c r="L8" s="1">
        <f t="shared" si="3"/>
        <v>3.7391909768982184E-3</v>
      </c>
      <c r="M8" s="2">
        <f t="shared" si="4"/>
        <v>20.39999999999981</v>
      </c>
      <c r="N8" s="1">
        <f t="shared" si="5"/>
        <v>1.8829382497642655E-13</v>
      </c>
    </row>
    <row r="9" spans="1:15">
      <c r="A9">
        <v>6</v>
      </c>
      <c r="B9">
        <v>1623</v>
      </c>
      <c r="C9">
        <v>1551.1969999999999</v>
      </c>
      <c r="D9">
        <v>71.385000000000005</v>
      </c>
      <c r="E9">
        <f t="shared" si="0"/>
        <v>1622.5819999999999</v>
      </c>
      <c r="G9">
        <v>5</v>
      </c>
      <c r="H9">
        <v>15.54</v>
      </c>
      <c r="I9" s="3">
        <v>15.36624417840523</v>
      </c>
      <c r="J9">
        <f t="shared" si="1"/>
        <v>0.25606395295412437</v>
      </c>
      <c r="K9" s="3">
        <f t="shared" si="2"/>
        <v>0.17375582159480388</v>
      </c>
      <c r="L9" s="1">
        <f t="shared" si="3"/>
        <v>2.8483837147548524E-3</v>
      </c>
      <c r="M9" s="2">
        <f t="shared" si="4"/>
        <v>15.540000000000035</v>
      </c>
      <c r="N9" s="1">
        <f t="shared" si="5"/>
        <v>-3.5527136788005009E-14</v>
      </c>
    </row>
    <row r="10" spans="1:15">
      <c r="A10">
        <v>7</v>
      </c>
      <c r="B10">
        <v>1353</v>
      </c>
      <c r="C10">
        <v>1292.9690000000001</v>
      </c>
      <c r="D10">
        <v>59.686</v>
      </c>
      <c r="E10">
        <f t="shared" si="0"/>
        <v>1352.655</v>
      </c>
      <c r="G10">
        <v>6</v>
      </c>
      <c r="H10">
        <v>6.72</v>
      </c>
      <c r="I10" s="3">
        <v>6.6448613585997656</v>
      </c>
      <c r="J10">
        <f t="shared" si="1"/>
        <v>0.11073034155648558</v>
      </c>
      <c r="K10" s="3">
        <f t="shared" si="2"/>
        <v>7.5137641400339517E-2</v>
      </c>
      <c r="L10" s="1">
        <f t="shared" si="3"/>
        <v>1.2317333149787098E-3</v>
      </c>
      <c r="M10" s="2">
        <f t="shared" si="4"/>
        <v>6.7199990000001053</v>
      </c>
      <c r="N10" s="1">
        <f t="shared" si="5"/>
        <v>9.9999989444654602E-7</v>
      </c>
    </row>
    <row r="11" spans="1:15">
      <c r="A11">
        <v>8</v>
      </c>
      <c r="B11">
        <v>1400</v>
      </c>
      <c r="C11">
        <v>1338.0619999999999</v>
      </c>
      <c r="D11">
        <v>61.576999999999998</v>
      </c>
      <c r="E11">
        <f t="shared" si="0"/>
        <v>1399.6389999999999</v>
      </c>
      <c r="G11">
        <v>7</v>
      </c>
      <c r="H11">
        <v>16.68</v>
      </c>
      <c r="I11" s="3">
        <v>16.493497612342249</v>
      </c>
      <c r="J11">
        <f t="shared" si="1"/>
        <v>0.27484856726349954</v>
      </c>
      <c r="K11" s="3">
        <f t="shared" si="2"/>
        <v>0.18650238765774266</v>
      </c>
      <c r="L11" s="1">
        <f t="shared" si="3"/>
        <v>3.0573385046403353E-3</v>
      </c>
      <c r="M11" s="2">
        <f t="shared" si="4"/>
        <v>16.679999999999993</v>
      </c>
      <c r="N11" s="1">
        <f t="shared" si="5"/>
        <v>0</v>
      </c>
    </row>
    <row r="12" spans="1:15">
      <c r="G12">
        <v>8</v>
      </c>
      <c r="H12">
        <v>14.28</v>
      </c>
      <c r="I12" s="3">
        <v>14.120332488264307</v>
      </c>
      <c r="J12">
        <f t="shared" si="1"/>
        <v>0.23530201082270955</v>
      </c>
      <c r="K12" s="3">
        <f t="shared" si="2"/>
        <v>0.15966751173576615</v>
      </c>
      <c r="L12" s="1">
        <f t="shared" si="3"/>
        <v>2.6174336838287906E-3</v>
      </c>
      <c r="M12" s="2">
        <f t="shared" si="4"/>
        <v>14.280000000000072</v>
      </c>
      <c r="N12" s="1">
        <f t="shared" si="5"/>
        <v>-7.2830630415410269E-14</v>
      </c>
    </row>
    <row r="14" spans="1:15">
      <c r="I14" t="s">
        <v>11</v>
      </c>
      <c r="J14">
        <v>0.1</v>
      </c>
      <c r="K14" s="4">
        <f>J14*$N$1</f>
        <v>1.1123720000000001E-3</v>
      </c>
    </row>
    <row r="15" spans="1:15">
      <c r="I15" t="s">
        <v>12</v>
      </c>
      <c r="J15" s="1">
        <v>3.0999999999999999E-3</v>
      </c>
      <c r="K15" s="4">
        <f>J15*$N$1</f>
        <v>3.4483531999999997E-5</v>
      </c>
    </row>
    <row r="16" spans="1:15">
      <c r="J16" s="4">
        <f>J15-K15</f>
        <v>3.0655164679999998E-3</v>
      </c>
    </row>
  </sheetData>
  <mergeCells count="2">
    <mergeCell ref="I2:J2"/>
    <mergeCell ref="K2:L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Amos</dc:creator>
  <cp:lastModifiedBy>Richard Amos</cp:lastModifiedBy>
  <dcterms:created xsi:type="dcterms:W3CDTF">2009-04-27T02:22:31Z</dcterms:created>
  <dcterms:modified xsi:type="dcterms:W3CDTF">2009-06-08T18:16:38Z</dcterms:modified>
</cp:coreProperties>
</file>